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MI\To Engineers Distribution\"/>
    </mc:Choice>
  </mc:AlternateContent>
  <bookViews>
    <workbookView xWindow="0" yWindow="0" windowWidth="28800" windowHeight="12315"/>
  </bookViews>
  <sheets>
    <sheet name="RUNNING-NEW PROJECT LIST" sheetId="3" r:id="rId1"/>
    <sheet name="COMPL-PARTL-PROJECT LIST" sheetId="21" r:id="rId2"/>
  </sheets>
  <definedNames>
    <definedName name="_xlnm._FilterDatabase" localSheetId="1" hidden="1">'COMPL-PARTL-PROJECT LIST'!$A$4:$T$104</definedName>
    <definedName name="_xlnm._FilterDatabase" localSheetId="0" hidden="1">'RUNNING-NEW PROJECT LIST'!$A$4:$AV$184</definedName>
    <definedName name="_xlnm.Print_Area" localSheetId="1">'COMPL-PARTL-PROJECT LIST'!$A$5:$M$103</definedName>
    <definedName name="_xlnm.Print_Area" localSheetId="0">'RUNNING-NEW PROJECT LIST'!$A$1:$W$186</definedName>
    <definedName name="_xlnm.Print_Titles" localSheetId="1">'COMPL-PARTL-PROJECT LIST'!#REF!</definedName>
    <definedName name="_xlnm.Print_Titles" localSheetId="0">'RUNNING-NEW PROJECT LIST'!$1:$4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2" i="3" l="1"/>
  <c r="P192" i="3" l="1"/>
  <c r="H107" i="21" l="1"/>
  <c r="J217" i="3" l="1"/>
  <c r="H110" i="21" l="1"/>
  <c r="M110" i="21" s="1"/>
  <c r="H109" i="21"/>
  <c r="H93" i="21"/>
  <c r="M72" i="21" l="1"/>
  <c r="M70" i="21"/>
  <c r="S110" i="3"/>
  <c r="S105" i="3" l="1"/>
  <c r="R76" i="3" l="1"/>
  <c r="S76" i="3"/>
  <c r="R69" i="3" l="1"/>
  <c r="S56" i="3"/>
  <c r="R44" i="3" l="1"/>
  <c r="S44" i="3"/>
  <c r="S34" i="3" l="1"/>
  <c r="AT192" i="3"/>
  <c r="S21" i="3" l="1"/>
  <c r="R21" i="3"/>
  <c r="S26" i="3" l="1"/>
  <c r="R26" i="3"/>
  <c r="S124" i="3"/>
  <c r="R124" i="3"/>
  <c r="R61" i="3"/>
  <c r="S61" i="3"/>
  <c r="R101" i="3"/>
  <c r="R82" i="3" l="1"/>
  <c r="K82" i="3"/>
  <c r="S82" i="3" s="1"/>
  <c r="R80" i="3" l="1"/>
  <c r="S80" i="3"/>
  <c r="R70" i="3" l="1"/>
  <c r="S70" i="3"/>
  <c r="R53" i="3" l="1"/>
  <c r="R30" i="3" l="1"/>
  <c r="S30" i="3"/>
  <c r="R17" i="3" l="1"/>
  <c r="R25" i="3"/>
  <c r="S25" i="3"/>
  <c r="S20" i="3" l="1"/>
  <c r="R20" i="3" l="1"/>
  <c r="M28" i="21"/>
  <c r="S5" i="3"/>
  <c r="S113" i="3" l="1"/>
  <c r="S107" i="3" l="1"/>
  <c r="R107" i="3"/>
  <c r="S93" i="3" l="1"/>
  <c r="S89" i="3" l="1"/>
  <c r="S84" i="3" l="1"/>
  <c r="S68" i="3" l="1"/>
  <c r="S55" i="3" l="1"/>
  <c r="T24" i="3" l="1"/>
  <c r="S24" i="3"/>
  <c r="S6" i="3" l="1"/>
  <c r="S168" i="3" l="1"/>
  <c r="T168" i="3" s="1"/>
  <c r="R168" i="3"/>
  <c r="S162" i="3" l="1"/>
  <c r="R140" i="3"/>
  <c r="R162" i="3"/>
  <c r="S140" i="3" l="1"/>
  <c r="S106" i="3" l="1"/>
  <c r="R106" i="3"/>
  <c r="R66" i="3" l="1"/>
  <c r="S66" i="3"/>
  <c r="S49" i="3" l="1"/>
  <c r="S35" i="3"/>
  <c r="S31" i="3"/>
  <c r="R31" i="3"/>
  <c r="H104" i="21" l="1"/>
  <c r="S47" i="3" l="1"/>
  <c r="R47" i="3"/>
  <c r="Q47" i="3"/>
  <c r="T7" i="3" l="1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9" i="3"/>
  <c r="T40" i="3"/>
  <c r="T41" i="3"/>
  <c r="T42" i="3"/>
  <c r="T43" i="3"/>
  <c r="T44" i="3"/>
  <c r="T45" i="3"/>
  <c r="T46" i="3"/>
  <c r="T48" i="3"/>
  <c r="T49" i="3"/>
  <c r="T50" i="3"/>
  <c r="T52" i="3"/>
  <c r="T54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5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39" i="3"/>
  <c r="R138" i="3"/>
  <c r="R137" i="3"/>
  <c r="R136" i="3"/>
  <c r="R135" i="3"/>
  <c r="R134" i="3"/>
  <c r="R131" i="3"/>
  <c r="R130" i="3"/>
  <c r="R128" i="3"/>
  <c r="R127" i="3"/>
  <c r="R125" i="3"/>
  <c r="R123" i="3"/>
  <c r="R122" i="3"/>
  <c r="R121" i="3"/>
  <c r="R119" i="3"/>
  <c r="R117" i="3"/>
  <c r="R116" i="3"/>
  <c r="R115" i="3"/>
  <c r="R114" i="3"/>
  <c r="R113" i="3"/>
  <c r="R112" i="3"/>
  <c r="R111" i="3"/>
  <c r="R110" i="3"/>
  <c r="R109" i="3"/>
  <c r="R108" i="3"/>
  <c r="R105" i="3"/>
  <c r="R104" i="3"/>
  <c r="R89" i="3"/>
  <c r="R72" i="3"/>
  <c r="R71" i="3"/>
  <c r="R68" i="3"/>
  <c r="R65" i="3"/>
  <c r="Q65" i="3"/>
  <c r="R63" i="3"/>
  <c r="Q63" i="3"/>
  <c r="R60" i="3"/>
  <c r="R56" i="3"/>
  <c r="R55" i="3"/>
  <c r="R48" i="3"/>
  <c r="R46" i="3"/>
  <c r="Q46" i="3"/>
  <c r="R43" i="3"/>
  <c r="Q43" i="3"/>
  <c r="R42" i="3"/>
  <c r="Q42" i="3"/>
  <c r="R40" i="3"/>
  <c r="Q40" i="3"/>
  <c r="R39" i="3"/>
  <c r="Q39" i="3"/>
  <c r="R38" i="3"/>
  <c r="R37" i="3"/>
  <c r="Q37" i="3"/>
  <c r="R36" i="3"/>
  <c r="R34" i="3"/>
  <c r="Q34" i="3"/>
  <c r="R33" i="3"/>
  <c r="Q33" i="3"/>
  <c r="R32" i="3"/>
  <c r="Q32" i="3"/>
  <c r="R23" i="3"/>
  <c r="R16" i="3"/>
  <c r="R10" i="3"/>
  <c r="R6" i="3"/>
  <c r="T55" i="3"/>
  <c r="T6" i="3"/>
  <c r="G192" i="3" l="1"/>
  <c r="K38" i="3" l="1"/>
  <c r="S38" i="3" s="1"/>
  <c r="T38" i="3" s="1"/>
  <c r="K149" i="3" l="1"/>
  <c r="K147" i="3" l="1"/>
  <c r="K146" i="3" l="1"/>
  <c r="K143" i="3" l="1"/>
  <c r="H92" i="21" l="1"/>
  <c r="H19" i="21"/>
  <c r="K121" i="3"/>
  <c r="K122" i="3" l="1"/>
  <c r="K126" i="3" l="1"/>
  <c r="K127" i="3" l="1"/>
  <c r="K128" i="3" l="1"/>
  <c r="K129" i="3" l="1"/>
  <c r="K69" i="3" l="1"/>
  <c r="S69" i="3" s="1"/>
  <c r="T69" i="3" l="1"/>
  <c r="M79" i="21"/>
  <c r="M52" i="21" l="1"/>
  <c r="M53" i="21"/>
  <c r="K17" i="3" l="1"/>
  <c r="M103" i="21" l="1"/>
  <c r="H103" i="21"/>
  <c r="M103" i="3" l="1"/>
  <c r="H9" i="21" l="1"/>
  <c r="M32" i="21"/>
  <c r="K91" i="3" l="1"/>
  <c r="K77" i="3" l="1"/>
  <c r="M91" i="21" l="1"/>
  <c r="M33" i="21" l="1"/>
  <c r="M45" i="21" l="1"/>
  <c r="H87" i="21" l="1"/>
  <c r="M64" i="21"/>
  <c r="M60" i="21"/>
  <c r="M55" i="21"/>
  <c r="M44" i="21"/>
  <c r="H36" i="21"/>
  <c r="M35" i="21"/>
  <c r="M31" i="21"/>
  <c r="H30" i="21"/>
  <c r="M29" i="21"/>
  <c r="M26" i="21"/>
  <c r="M25" i="21"/>
  <c r="M23" i="21"/>
  <c r="L23" i="21"/>
  <c r="M21" i="21"/>
  <c r="L21" i="21"/>
  <c r="K21" i="21"/>
  <c r="M18" i="21"/>
  <c r="L18" i="21"/>
  <c r="M16" i="21"/>
  <c r="H13" i="21"/>
  <c r="M13" i="21" s="1"/>
  <c r="H12" i="21"/>
  <c r="M6" i="21"/>
  <c r="M5" i="21"/>
  <c r="K5" i="21"/>
  <c r="K71" i="3" l="1"/>
  <c r="K72" i="3" l="1"/>
  <c r="K53" i="3" l="1"/>
  <c r="S53" i="3" s="1"/>
  <c r="T53" i="3" s="1"/>
  <c r="K52" i="3" l="1"/>
  <c r="K51" i="3" l="1"/>
  <c r="S51" i="3" l="1"/>
  <c r="S192" i="3" s="1"/>
  <c r="T51" i="3" l="1"/>
  <c r="T192" i="3" s="1"/>
</calcChain>
</file>

<file path=xl/sharedStrings.xml><?xml version="1.0" encoding="utf-8"?>
<sst xmlns="http://schemas.openxmlformats.org/spreadsheetml/2006/main" count="2563" uniqueCount="1560">
  <si>
    <t>S. No.</t>
  </si>
  <si>
    <t>Project Name</t>
  </si>
  <si>
    <t>AK Job No.</t>
  </si>
  <si>
    <t>Folder No.</t>
  </si>
  <si>
    <t>AK-22-093</t>
  </si>
  <si>
    <t>AK-23-256</t>
  </si>
  <si>
    <t>AK-23-368</t>
  </si>
  <si>
    <t>AK-23-378</t>
  </si>
  <si>
    <t>AK-24-381</t>
  </si>
  <si>
    <t>AK-23-278</t>
  </si>
  <si>
    <t>AK-24-127</t>
  </si>
  <si>
    <t>AK-24-12</t>
  </si>
  <si>
    <t>AK-23-471</t>
  </si>
  <si>
    <t>AK-24-74</t>
  </si>
  <si>
    <t>AK-23-330</t>
  </si>
  <si>
    <t>AK-23-136</t>
  </si>
  <si>
    <t>AK-23-359</t>
  </si>
  <si>
    <t>AK-23-224</t>
  </si>
  <si>
    <t>AK-23-339</t>
  </si>
  <si>
    <t>AK-24-252</t>
  </si>
  <si>
    <t>Ak-24-257</t>
  </si>
  <si>
    <t>AK-24-23</t>
  </si>
  <si>
    <t>AK-24-186</t>
  </si>
  <si>
    <t>AK-24-173</t>
  </si>
  <si>
    <t>AK-24-289</t>
  </si>
  <si>
    <t>AK-24-299</t>
  </si>
  <si>
    <t>AK-24-281</t>
  </si>
  <si>
    <t>AK-24-365</t>
  </si>
  <si>
    <t>AK-24-110</t>
  </si>
  <si>
    <t>AK-24-338</t>
  </si>
  <si>
    <t>AK-24-132</t>
  </si>
  <si>
    <t>AK-24-366</t>
  </si>
  <si>
    <t>AK-24-363</t>
  </si>
  <si>
    <t>AK-24-368</t>
  </si>
  <si>
    <t>AK-24-441</t>
  </si>
  <si>
    <t>AK-24-439</t>
  </si>
  <si>
    <t>AK-24-51</t>
  </si>
  <si>
    <t>AK-24-450</t>
  </si>
  <si>
    <t>AK-24-303</t>
  </si>
  <si>
    <t>AK-24-433</t>
  </si>
  <si>
    <t>AK-24-100</t>
  </si>
  <si>
    <t>AK-24-273</t>
  </si>
  <si>
    <t>AK-24-522</t>
  </si>
  <si>
    <t>AK-24-527</t>
  </si>
  <si>
    <t>AK-24-468</t>
  </si>
  <si>
    <t>AK-24-568</t>
  </si>
  <si>
    <t>AK-24-524</t>
  </si>
  <si>
    <t>AK-24-534</t>
  </si>
  <si>
    <t>AK-24-615</t>
  </si>
  <si>
    <t>AK-24-593</t>
  </si>
  <si>
    <t>AK-24-316</t>
  </si>
  <si>
    <t>AK-24-447</t>
  </si>
  <si>
    <t>AK-25-034</t>
  </si>
  <si>
    <t>AK-24-652</t>
  </si>
  <si>
    <t>AK-24-375</t>
  </si>
  <si>
    <t>AK-24-525</t>
  </si>
  <si>
    <t>AK-24-661</t>
  </si>
  <si>
    <t>AK-25-070</t>
  </si>
  <si>
    <t>AK-25-133</t>
  </si>
  <si>
    <t>AK-24-536</t>
  </si>
  <si>
    <t>AK-25-111A</t>
  </si>
  <si>
    <t>AK-25-111B</t>
  </si>
  <si>
    <t>AK-24-621</t>
  </si>
  <si>
    <t>AK-24-493</t>
  </si>
  <si>
    <t>AK-25-186</t>
  </si>
  <si>
    <t>AK-24-234</t>
  </si>
  <si>
    <t>AK-25-164</t>
  </si>
  <si>
    <t>AK-24-411A</t>
  </si>
  <si>
    <t>AK-25-285</t>
  </si>
  <si>
    <t>Abdel Aziz Al Majid</t>
  </si>
  <si>
    <t>Benz Contracting</t>
  </si>
  <si>
    <t>Abdul Azizi</t>
  </si>
  <si>
    <t>Gulf Modern Contracting-4 villas</t>
  </si>
  <si>
    <t>Heilbron_G+P+5 Jumeira JVC</t>
  </si>
  <si>
    <t>Sarah Cont Mohsin Villa-Model</t>
  </si>
  <si>
    <t>Object 1(DSCA)</t>
  </si>
  <si>
    <t>Thappar G+1+R</t>
  </si>
  <si>
    <t>Mastery Blg. Contracting</t>
  </si>
  <si>
    <t>Tiger_ Volga Tower</t>
  </si>
  <si>
    <t>Gulf Modern Contracting_Rashid Villa</t>
  </si>
  <si>
    <t>High Beam _ B+G+1+R PLOT 01- Al Sattari</t>
  </si>
  <si>
    <t>DSCA - 1Wood Residence</t>
  </si>
  <si>
    <t>Cairo contracting B+G+5+R</t>
  </si>
  <si>
    <t>Waleed Villa- Gulf modern Contracting</t>
  </si>
  <si>
    <t>Samana Ivy Garden- Modern Contracting</t>
  </si>
  <si>
    <t>Aroma_G+9- Divine Hills</t>
  </si>
  <si>
    <t>Indo Gulf G+1P+10TYP</t>
  </si>
  <si>
    <t>Al Rakha Group -Terrazo</t>
  </si>
  <si>
    <t>Jasaf Bldg. Technology</t>
  </si>
  <si>
    <t>Onix villa_Nashira sultana</t>
  </si>
  <si>
    <t>Uniforce_Dubai Aviation City-G+4</t>
  </si>
  <si>
    <t>Walkthrough contracting</t>
  </si>
  <si>
    <t>Tiger_ Al Rahmania School</t>
  </si>
  <si>
    <t>Loft Contracting_ PLOT NO.IC3-E-04</t>
  </si>
  <si>
    <t>INEX Contracting- Ain Al Maha (2 Mosques)</t>
  </si>
  <si>
    <t>Grand Signature bldg. Contracting</t>
  </si>
  <si>
    <t>Bin Malek Contracting- warsan 1st</t>
  </si>
  <si>
    <t>Loft Contracting PLOT NO. E-17</t>
  </si>
  <si>
    <t>Pivot Engineering Contracting B+G+4P+18+R</t>
  </si>
  <si>
    <t>Super World Building Contracting</t>
  </si>
  <si>
    <t>Beam Construction 1B+G+1ST+6TYP.FR+HC</t>
  </si>
  <si>
    <t>Delta Engineering Consultant _ Royal Pearls [JOH] - Shamandy</t>
  </si>
  <si>
    <t>INEX Contracting - Seef Al Jubail Mosque Plot no P-94 [joh]</t>
  </si>
  <si>
    <t>Costplus Contracting  G+4+ROOF</t>
  </si>
  <si>
    <t>NSE contracting [Same as ak-23-376]  G+3p+17+R</t>
  </si>
  <si>
    <t>FORDROUGH BUILDING CONTRACTING (B+G+1)</t>
  </si>
  <si>
    <t>Aroma JVC- 1B+G+3P+8F+R</t>
  </si>
  <si>
    <t>Hamec Consultant - WAHEEDA</t>
  </si>
  <si>
    <t>Modern building Contracting B+G+1+R</t>
  </si>
  <si>
    <t>Model Consultant_P-772 -2B+G+11+M+R - Sky Island</t>
  </si>
  <si>
    <t>ASHIYANA CONTRACTING (Site#281) G+3P+12+R</t>
  </si>
  <si>
    <t>ASHIYANA CONTRACTING (Site#282) B+G+9+R</t>
  </si>
  <si>
    <t>Lamida Contracting G+3P+19F+R</t>
  </si>
  <si>
    <t>Al Usr Bldg. Contracting co - G+4+60% ROOF</t>
  </si>
  <si>
    <t>DECOR N MORE</t>
  </si>
  <si>
    <t>Golden Wall Ajman  G+1+R</t>
  </si>
  <si>
    <t>Dsca Ozone Project B+G+4P+21+R</t>
  </si>
  <si>
    <t>KTC INTERNATIONAL L.L.C</t>
  </si>
  <si>
    <t>Bin Malek contracting</t>
  </si>
  <si>
    <t xml:space="preserve">  </t>
  </si>
  <si>
    <t xml:space="preserve"> </t>
  </si>
  <si>
    <t>Location</t>
  </si>
  <si>
    <t>Plot No</t>
  </si>
  <si>
    <t>671-669</t>
  </si>
  <si>
    <t>Al Bu Daniq, Sharjah</t>
  </si>
  <si>
    <t>JVC, Dubai</t>
  </si>
  <si>
    <t>JVT03GHRA001</t>
  </si>
  <si>
    <t>JVT, Dubai</t>
  </si>
  <si>
    <t>Burj Khalifa, Dubai</t>
  </si>
  <si>
    <t>TAK Contracting_IGO G+M+3P+48</t>
  </si>
  <si>
    <t>AK-23-247</t>
  </si>
  <si>
    <t>Abu Dhabi</t>
  </si>
  <si>
    <t>Al Qusais, Dubai</t>
  </si>
  <si>
    <t>Jabal Ali First, Dubai</t>
  </si>
  <si>
    <t>GF to Top Roof, 4 Villas</t>
  </si>
  <si>
    <t>Al Wasl, Dubai</t>
  </si>
  <si>
    <t>3435484-507-491-506</t>
  </si>
  <si>
    <t>Raft, P, 1 to 5, Roof</t>
  </si>
  <si>
    <t>JVC11IMRP002</t>
  </si>
  <si>
    <t>Dubai Hills</t>
  </si>
  <si>
    <t>C10A</t>
  </si>
  <si>
    <t>Reem Island, Abu Dhabi</t>
  </si>
  <si>
    <t>JVC12PHRS005</t>
  </si>
  <si>
    <t>1C1-CBD-33</t>
  </si>
  <si>
    <t>Warsan, Intl City</t>
  </si>
  <si>
    <t>3940195 R39</t>
  </si>
  <si>
    <t>Al Thanyah fourth</t>
  </si>
  <si>
    <t>1st, LR, TR</t>
  </si>
  <si>
    <t>Barsha 2nd, Dubai</t>
  </si>
  <si>
    <t>JVT07JNEW001</t>
  </si>
  <si>
    <t>Wadi Al Safa 2, Dubai</t>
  </si>
  <si>
    <t>GF, 1st, Roof</t>
  </si>
  <si>
    <t>B2, B1, GF, 1 - 17, R</t>
  </si>
  <si>
    <t>Arjan, Dubai</t>
  </si>
  <si>
    <t>GF, 1st, Roof, TR</t>
  </si>
  <si>
    <t>HADAEQ Shk Mohd Rashid</t>
  </si>
  <si>
    <t>P1-P4, P4 High, 1 - 12, R</t>
  </si>
  <si>
    <t>Barsha 4th South, Dubai</t>
  </si>
  <si>
    <t>1 - 5, TR</t>
  </si>
  <si>
    <t>Wadi Al Safa 3, Dubai</t>
  </si>
  <si>
    <t>1st, R</t>
  </si>
  <si>
    <t>Dubai Land Residence Complex</t>
  </si>
  <si>
    <t>P, 1-2, 3-10, R, Rdeck</t>
  </si>
  <si>
    <t>Jabal Ali First, 591, Dubai</t>
  </si>
  <si>
    <t>1-5, R</t>
  </si>
  <si>
    <t>Terrazo Residences</t>
  </si>
  <si>
    <t>Dubai, UAE</t>
  </si>
  <si>
    <t>3470356 &amp; 57</t>
  </si>
  <si>
    <t>District 1, Dubai</t>
  </si>
  <si>
    <t>1st, R, TR</t>
  </si>
  <si>
    <t xml:space="preserve">223, </t>
  </si>
  <si>
    <t>Mohd Zayed City, Abu Dhabi</t>
  </si>
  <si>
    <t>Lachlan General Contracting</t>
  </si>
  <si>
    <t>Afwavil012</t>
  </si>
  <si>
    <t>Jabal Ali First - 591</t>
  </si>
  <si>
    <t>1st, 2-4, LR</t>
  </si>
  <si>
    <t>RF60</t>
  </si>
  <si>
    <t>Wadi Al Safa, Aviation City Dubai</t>
  </si>
  <si>
    <t>GF, 1st, LR</t>
  </si>
  <si>
    <t>P1, P2, 1st, 2-3, 4-6, R</t>
  </si>
  <si>
    <t>Nad Al Shiba Gardens, Dubai</t>
  </si>
  <si>
    <t>M1483/G5904</t>
  </si>
  <si>
    <t xml:space="preserve">Sharjah, </t>
  </si>
  <si>
    <t>IC3-E-04</t>
  </si>
  <si>
    <t>International City Phase 3, Dubai</t>
  </si>
  <si>
    <t>1st, 2-5, 6, R</t>
  </si>
  <si>
    <t>Roof</t>
  </si>
  <si>
    <t>Al Jubail Island, Abu Dhabi</t>
  </si>
  <si>
    <t>1 - 3, R</t>
  </si>
  <si>
    <t>1, 2-4, R, UR</t>
  </si>
  <si>
    <t>Warsan First, Dubai</t>
  </si>
  <si>
    <t xml:space="preserve">IC3-E-17, </t>
  </si>
  <si>
    <t>International City, Dubai</t>
  </si>
  <si>
    <t>Hadaeq Shk Mohd Bin Rashid</t>
  </si>
  <si>
    <t>P1-P4, 1-18, R</t>
  </si>
  <si>
    <t>1, Roof</t>
  </si>
  <si>
    <t>Madinat Hind 3, Dubai</t>
  </si>
  <si>
    <t>Phase 2, Abu Dhabi</t>
  </si>
  <si>
    <t>1-3, 4-7, HC, Terrace</t>
  </si>
  <si>
    <t>Al Muraqqabat, Deira, Dubai</t>
  </si>
  <si>
    <t>Nad Al Shiba 1st, Dubai</t>
  </si>
  <si>
    <t>LR &amp; TR</t>
  </si>
  <si>
    <t>P-94</t>
  </si>
  <si>
    <t>Jubail Island, Abu Dhabi</t>
  </si>
  <si>
    <t>RC-86</t>
  </si>
  <si>
    <t>Dubai South</t>
  </si>
  <si>
    <t>Jumeirah Village, Dubai</t>
  </si>
  <si>
    <t>Barari, Dubai</t>
  </si>
  <si>
    <t>Dubai</t>
  </si>
  <si>
    <t>GF, 1st, RF, TR</t>
  </si>
  <si>
    <t>Satwa, Umm Al Shief</t>
  </si>
  <si>
    <t>Wadi Al Safa 5, Dubai</t>
  </si>
  <si>
    <t>Strengthening</t>
  </si>
  <si>
    <t>P1-P3, 1, 2-11, 12, R</t>
  </si>
  <si>
    <t>JVC10XMRM001</t>
  </si>
  <si>
    <t>GF, 1, 2, 3-9, LR, R</t>
  </si>
  <si>
    <t>Al Barsha South Dubai</t>
  </si>
  <si>
    <t>P1, P2, P3, 1-19, LR</t>
  </si>
  <si>
    <t>Business Bay, Dubai</t>
  </si>
  <si>
    <t>Mulk, Sharjah</t>
  </si>
  <si>
    <t>395/M-21</t>
  </si>
  <si>
    <t>JVC13 NOH R400B</t>
  </si>
  <si>
    <t>P, 1st, 2-6, 7-8, R</t>
  </si>
  <si>
    <t>Mina Rashid, Dubai</t>
  </si>
  <si>
    <t>Warsan fourth, 624</t>
  </si>
  <si>
    <t>PROJECT LIST</t>
  </si>
  <si>
    <t>GF, 1-5, R, TR</t>
  </si>
  <si>
    <t>AK-25-185</t>
  </si>
  <si>
    <t>AK-25-243</t>
  </si>
  <si>
    <t>AK-25-236</t>
  </si>
  <si>
    <t>AK-25-218</t>
  </si>
  <si>
    <t>AK-25-230</t>
  </si>
  <si>
    <t>AK-24-598</t>
  </si>
  <si>
    <t>1, 2, 3-4, R, TR</t>
  </si>
  <si>
    <t>RA-28</t>
  </si>
  <si>
    <t>1, 2, 3, 4, 5, R</t>
  </si>
  <si>
    <t>Nad Al Shiba, Dubai</t>
  </si>
  <si>
    <t>MIAMI Contr + Modular design consult</t>
  </si>
  <si>
    <t>Al Melaheyah, Dubai</t>
  </si>
  <si>
    <t>RAQ + Dynamic Design Studio</t>
  </si>
  <si>
    <t>AC3-11</t>
  </si>
  <si>
    <t>CHICAGO Contr + Mimar Architect</t>
  </si>
  <si>
    <t>AFC047B</t>
  </si>
  <si>
    <t>Al Furjan, Dubai</t>
  </si>
  <si>
    <t>Baron Contracting + Model Engg Consult</t>
  </si>
  <si>
    <t>AK-25-305</t>
  </si>
  <si>
    <t>GF, 1st, RF</t>
  </si>
  <si>
    <t>6316642 Mr. Rishi</t>
  </si>
  <si>
    <t>GF, 1st, RF, UR</t>
  </si>
  <si>
    <t>5130313 Mr. Paramjit</t>
  </si>
  <si>
    <t>1st, Mezz, R</t>
  </si>
  <si>
    <t>Muhaisanah Third, Dubai</t>
  </si>
  <si>
    <t>Modern Cube Contr + Bait Alomor PMC</t>
  </si>
  <si>
    <t>AK-25-093</t>
  </si>
  <si>
    <t>673-1296</t>
  </si>
  <si>
    <t>M, P1,P2,1-26, R</t>
  </si>
  <si>
    <t>Atcon Construction + Chawla Architects</t>
  </si>
  <si>
    <t>Al Rakha Bayline</t>
  </si>
  <si>
    <t xml:space="preserve">   </t>
  </si>
  <si>
    <t>Nos.</t>
  </si>
  <si>
    <t>Area</t>
  </si>
  <si>
    <t>Grand Signature bldg. Paramjit</t>
  </si>
  <si>
    <t>Grand Signature bldg. Rishi</t>
  </si>
  <si>
    <t>AK-24-599</t>
  </si>
  <si>
    <t>P1, P2, 1 to 8, Lower Roof</t>
  </si>
  <si>
    <t>1010389 DIA-RE0043</t>
  </si>
  <si>
    <t>Dubai Islands, Dubai</t>
  </si>
  <si>
    <t>Buildtech Construction</t>
  </si>
  <si>
    <t>P1 to P4, Up Pod, 1st to 15, R</t>
  </si>
  <si>
    <t>Tender NET Area</t>
  </si>
  <si>
    <t>GF, P1,P2,P3, 1 to 23, Roof</t>
  </si>
  <si>
    <t>M, P1 to P3, 1 - 48, RMech01, RMech02, TR</t>
  </si>
  <si>
    <t>P1toP4, 1-19, Roof, Roof</t>
  </si>
  <si>
    <t>Raft, GF, P1, P2, 1st, 2to14, Roof</t>
  </si>
  <si>
    <t>1 to 13, LR, UR</t>
  </si>
  <si>
    <t>P1,P2,P3, P3-Upper, 1-22, R</t>
  </si>
  <si>
    <t>1-10, Roof</t>
  </si>
  <si>
    <t>Gf, FF, LR, Lrdeck</t>
  </si>
  <si>
    <t>1,2,3,4,5, Roof</t>
  </si>
  <si>
    <t>P1-P4, 1-17, LRDECK</t>
  </si>
  <si>
    <t>6454334, Wadi Safa 3</t>
  </si>
  <si>
    <t>FF, LR</t>
  </si>
  <si>
    <t>JVC 10B MRM 001, JVC</t>
  </si>
  <si>
    <t>GF, P1,P2,P3,1 TO 8, R</t>
  </si>
  <si>
    <t>1 TO 11, LR, UR</t>
  </si>
  <si>
    <t>1, 2-4, R, TR</t>
  </si>
  <si>
    <t>P, 1 to 6, R</t>
  </si>
  <si>
    <t>P1,P2, 1 to 9, Lroof</t>
  </si>
  <si>
    <t>1,2,3,4,5,Roof</t>
  </si>
  <si>
    <t>Slabs</t>
  </si>
  <si>
    <t xml:space="preserve">JVC13LHRS003 </t>
  </si>
  <si>
    <t>JVC13LHRS002</t>
  </si>
  <si>
    <t>GF, P1,P2,P3, 1 to 23</t>
  </si>
  <si>
    <t xml:space="preserve">P1toP4, 1-19, Roof, </t>
  </si>
  <si>
    <t>1-10,</t>
  </si>
  <si>
    <t>1st</t>
  </si>
  <si>
    <t>Completed</t>
  </si>
  <si>
    <t>GF, 1, LR, R</t>
  </si>
  <si>
    <t>GF, 1, LR</t>
  </si>
  <si>
    <t>1-3, 4-9, R</t>
  </si>
  <si>
    <t>1st, 2-4,</t>
  </si>
  <si>
    <t>1st, 2nd  &amp; Roof</t>
  </si>
  <si>
    <t>1st, 2nd, &amp; Part Roof</t>
  </si>
  <si>
    <t xml:space="preserve">DSCA Luminar 1 - (152475) </t>
  </si>
  <si>
    <t>Luminar 1 - (152475)                   PLOT NO. JVT02HHRA002B</t>
  </si>
  <si>
    <t>Luminar 2 -  (151731)                  PLOT NO. JVT02HHRA002A</t>
  </si>
  <si>
    <t>DSCA Luminar 2-(151731)</t>
  </si>
  <si>
    <t>P1 - P5, P5 High Level, 1, 2-19, R</t>
  </si>
  <si>
    <t>DXB-228-01</t>
  </si>
  <si>
    <t xml:space="preserve"> 1st, 2-6, 7,8, 9, R</t>
  </si>
  <si>
    <t>DXB-228-02</t>
  </si>
  <si>
    <t>AK-24-411B</t>
  </si>
  <si>
    <t>INDO GULF CONTRACTING +Emsquare</t>
  </si>
  <si>
    <t>AK-24-592 (186)</t>
  </si>
  <si>
    <t>6453245 (P187)</t>
  </si>
  <si>
    <t>AK-24-592 (187)</t>
  </si>
  <si>
    <t>170 = 118</t>
  </si>
  <si>
    <t>Project Details</t>
  </si>
  <si>
    <t>JULFAR CONTRACTING PLOT 003</t>
  </si>
  <si>
    <t>JULFAR CONTRACTING PLOT 002</t>
  </si>
  <si>
    <t>RS-3C23(ADM),                      S3-C34(SHAMS)</t>
  </si>
  <si>
    <t>Plot 5 - Mo-001                (North &amp; South)</t>
  </si>
  <si>
    <t>Town Plaza,                           Reem Hills</t>
  </si>
  <si>
    <t>6184116,                        6184086</t>
  </si>
  <si>
    <t>Saih Shuaib 1,                                Jebel Ali Hills, Dubai</t>
  </si>
  <si>
    <t>Saih Shuaib 1,                         Jebel Ali Hills, Dubai</t>
  </si>
  <si>
    <t>TOTALS</t>
  </si>
  <si>
    <t>PT SLAB DETAILS</t>
  </si>
  <si>
    <t>Description</t>
  </si>
  <si>
    <t xml:space="preserve"> PT Slabs Concreted Details</t>
  </si>
  <si>
    <t>Balance Concreting PT Slab Details</t>
  </si>
  <si>
    <t>TPC DHCN contracting</t>
  </si>
  <si>
    <t>Jams Contracting</t>
  </si>
  <si>
    <t>AK-23-037</t>
  </si>
  <si>
    <t>Al Jadaf</t>
  </si>
  <si>
    <t>B1, GF, 1 to 13, Lroof</t>
  </si>
  <si>
    <t xml:space="preserve">    </t>
  </si>
  <si>
    <t xml:space="preserve">       </t>
  </si>
  <si>
    <t>326-0870</t>
  </si>
  <si>
    <t>Engineer</t>
  </si>
  <si>
    <t>Ongoing Projects</t>
  </si>
  <si>
    <t>New Projects</t>
  </si>
  <si>
    <t>AK-25-188</t>
  </si>
  <si>
    <t>CHC Dubai Police</t>
  </si>
  <si>
    <t>AL ROWAIYAH 3</t>
  </si>
  <si>
    <t>Dharmendran</t>
  </si>
  <si>
    <t>Sattish</t>
  </si>
  <si>
    <t>Raman</t>
  </si>
  <si>
    <t>AK-24-547</t>
  </si>
  <si>
    <t>Sharhan Bldg Cont., Onix Conslt</t>
  </si>
  <si>
    <t>AK-24-491</t>
  </si>
  <si>
    <t>City Expert - Downtown</t>
  </si>
  <si>
    <t>Downtown Dubai</t>
  </si>
  <si>
    <t>1st, Roof</t>
  </si>
  <si>
    <t>AK-24-572</t>
  </si>
  <si>
    <t>Model Consltant (B+G+5P+38+R)</t>
  </si>
  <si>
    <t>JVC10AHRG001C</t>
  </si>
  <si>
    <t>P1-P5, 1-38, R</t>
  </si>
  <si>
    <t>NEED UPDATE</t>
  </si>
  <si>
    <t>AK-24-607</t>
  </si>
  <si>
    <t>Ace Metal Vision &amp; Steel Works</t>
  </si>
  <si>
    <t>AK-24-620</t>
  </si>
  <si>
    <t>Anson Construction</t>
  </si>
  <si>
    <t>C33</t>
  </si>
  <si>
    <t>Yas Island, Abu Dhabi</t>
  </si>
  <si>
    <t>AK-24-609</t>
  </si>
  <si>
    <t>Model- Wog Capital, G+P+6+R</t>
  </si>
  <si>
    <t>Nakhlat Deira, Dubai</t>
  </si>
  <si>
    <t>P, 1-6, Lroof</t>
  </si>
  <si>
    <t>AK-25-009</t>
  </si>
  <si>
    <t>Shine Square, G+4+R</t>
  </si>
  <si>
    <t>RC-83</t>
  </si>
  <si>
    <t>1-4, LR, UR</t>
  </si>
  <si>
    <t>AK-24-482</t>
  </si>
  <si>
    <t>Model Engg, G+2P+8+R</t>
  </si>
  <si>
    <t>P1, P2, 1-8, R</t>
  </si>
  <si>
    <t>Jumeirah Garden City, Dubai</t>
  </si>
  <si>
    <t>AK-23-383</t>
  </si>
  <si>
    <t>P1, 1-6, R, TR</t>
  </si>
  <si>
    <t>Ak-24-422</t>
  </si>
  <si>
    <t>ITEC Const 2B+G+10+R</t>
  </si>
  <si>
    <t>IC1-CBDH-02</t>
  </si>
  <si>
    <t>Warsan 1621, Dubai</t>
  </si>
  <si>
    <t>1, 2-10, R</t>
  </si>
  <si>
    <t>AK-25-049</t>
  </si>
  <si>
    <t>Al Rabat Cont. 1B+G+1P+13+R</t>
  </si>
  <si>
    <t>AK-24-395</t>
  </si>
  <si>
    <t>Al Shafar G+1 Villa</t>
  </si>
  <si>
    <t>Jumeirah 1, Dubai</t>
  </si>
  <si>
    <t xml:space="preserve">      AK-24-59</t>
  </si>
  <si>
    <t>Al Shafar Helix Tower</t>
  </si>
  <si>
    <t>Al Barsha South 2ND</t>
  </si>
  <si>
    <t>AK-25-043</t>
  </si>
  <si>
    <t>Al Haqiqi Bldg Cont G+2</t>
  </si>
  <si>
    <t>Madinath Hind 4th, Dubai</t>
  </si>
  <si>
    <t>1st, 2nd Roof</t>
  </si>
  <si>
    <t>AK-24-526</t>
  </si>
  <si>
    <t>Al Shafar G+1 Comm</t>
  </si>
  <si>
    <t>AK-25-061</t>
  </si>
  <si>
    <t xml:space="preserve">DSCA - </t>
  </si>
  <si>
    <t>Satwa, Dubai</t>
  </si>
  <si>
    <t>P1,P2,1 to 8, Roof</t>
  </si>
  <si>
    <t>AK-25-041</t>
  </si>
  <si>
    <t>Sumer Cont, B+G+9+R</t>
  </si>
  <si>
    <t>Al Barsha South 3</t>
  </si>
  <si>
    <t>G, 1-9, R, UR</t>
  </si>
  <si>
    <t>AK-25-089</t>
  </si>
  <si>
    <t>Allied Cont. B+G+M+4+R</t>
  </si>
  <si>
    <t>Al Murar</t>
  </si>
  <si>
    <t>G, M, 1-4, R, UR</t>
  </si>
  <si>
    <t>AK-24-642</t>
  </si>
  <si>
    <t>NAJ Contracting G+1</t>
  </si>
  <si>
    <t>1, Lroof</t>
  </si>
  <si>
    <t>AK-25-018</t>
  </si>
  <si>
    <t>G, 1p to 4P, 1-27, R, LR</t>
  </si>
  <si>
    <t>AK-25-074</t>
  </si>
  <si>
    <t>IMPZ Prod City, Dubai</t>
  </si>
  <si>
    <t>G, P, 1-11, R</t>
  </si>
  <si>
    <t>AK-25-042</t>
  </si>
  <si>
    <t>JVC14EMRP005</t>
  </si>
  <si>
    <t>P, 1-5, R</t>
  </si>
  <si>
    <t>AK-25-175</t>
  </si>
  <si>
    <t>Bin Odeh bldg Cont.</t>
  </si>
  <si>
    <t>AK-24-627</t>
  </si>
  <si>
    <t>AK-25-191</t>
  </si>
  <si>
    <t>Scanning</t>
  </si>
  <si>
    <t>AK-25-097</t>
  </si>
  <si>
    <t>ARAB CONTRACTS</t>
  </si>
  <si>
    <t>G, 1-5, R, UR</t>
  </si>
  <si>
    <t>AK-25-190</t>
  </si>
  <si>
    <t>Tiger Al Furjan 7</t>
  </si>
  <si>
    <t>Tiger Al Furjan 8</t>
  </si>
  <si>
    <t>AFRA033</t>
  </si>
  <si>
    <t>JABAL ALI FIRST 591</t>
  </si>
  <si>
    <t>P1, 1-10, Roof</t>
  </si>
  <si>
    <t>AFRA028</t>
  </si>
  <si>
    <t>P1, P2, 1-11, R</t>
  </si>
  <si>
    <t>Skada Construction G+2P+8</t>
  </si>
  <si>
    <t>DIA-RE-1179</t>
  </si>
  <si>
    <t>Classic Star Bldg Cont. B+G+1</t>
  </si>
  <si>
    <t>AK-24-637</t>
  </si>
  <si>
    <t>Supervisor/ Technician/ Labor</t>
  </si>
  <si>
    <t>AK-24-199</t>
  </si>
  <si>
    <t>AK-25-354</t>
  </si>
  <si>
    <t>Loft Contracting 3B+G+12+R</t>
  </si>
  <si>
    <t>AK-25-211</t>
  </si>
  <si>
    <t>Ritz Contracting</t>
  </si>
  <si>
    <t>AK-25-368</t>
  </si>
  <si>
    <t>AK-25-297</t>
  </si>
  <si>
    <t>AK-25-356</t>
  </si>
  <si>
    <t>B+G+1+R Uniforce</t>
  </si>
  <si>
    <t>B3,B2,B1,GF, 1-11, LR</t>
  </si>
  <si>
    <t>Model P762 G+2p+12+R</t>
  </si>
  <si>
    <t>P1, P2, 1-12, R</t>
  </si>
  <si>
    <t xml:space="preserve">RC-50, </t>
  </si>
  <si>
    <t>Dubai Residential City</t>
  </si>
  <si>
    <t>1, 2, 3, 4, HC</t>
  </si>
  <si>
    <t>Loft Contr. B+G+6+R</t>
  </si>
  <si>
    <t>B, G, 1-5, LR</t>
  </si>
  <si>
    <t>Saih Suhaib 2, Dubai</t>
  </si>
  <si>
    <t>Pearl Jumeirah, Dubai</t>
  </si>
  <si>
    <t xml:space="preserve">1st </t>
  </si>
  <si>
    <t>GF, 1st, R</t>
  </si>
  <si>
    <t>AK-24-40</t>
  </si>
  <si>
    <t>GF, 1st, 2nd, Roof</t>
  </si>
  <si>
    <t>TOTAL</t>
  </si>
  <si>
    <t xml:space="preserve">         </t>
  </si>
  <si>
    <t>AK-24-623</t>
  </si>
  <si>
    <t>High Beam G+2</t>
  </si>
  <si>
    <t>G,1, R, TR</t>
  </si>
  <si>
    <t>Tendon Locking</t>
  </si>
  <si>
    <t>(Mezz,Roof) + (1st, 2nd &amp; R)</t>
  </si>
  <si>
    <t>Al Tawoos Contr. G+P+6+R</t>
  </si>
  <si>
    <t>Wasl Gate, Jabal Ali 1st, Dubai</t>
  </si>
  <si>
    <t>Contractor TBA</t>
  </si>
  <si>
    <t>Aroma JVT</t>
  </si>
  <si>
    <t>P2,P3,P4, 1 to 24, Roof</t>
  </si>
  <si>
    <t>ITAL TECH Samana B+G+P+11+R (AREC)</t>
  </si>
  <si>
    <t>CANCELLED</t>
  </si>
  <si>
    <t>Modern Building Contracting_3B+G+17 - Arjan (Samana)</t>
  </si>
  <si>
    <t>1,2,3, 4, 5</t>
  </si>
  <si>
    <t>B+G+1+R Villa Model Cons</t>
  </si>
  <si>
    <t>Merkadh</t>
  </si>
  <si>
    <t>P1, P2, P3, 1-15, R</t>
  </si>
  <si>
    <t>1st, 2nd</t>
  </si>
  <si>
    <t>Zohrah Secor</t>
  </si>
  <si>
    <t>BC, GFC, R</t>
  </si>
  <si>
    <t>6253206 (P186)</t>
  </si>
  <si>
    <t>AK-24-575</t>
  </si>
  <si>
    <t>UG+G+5P+32 Al Hikma Bldg cont</t>
  </si>
  <si>
    <t>JVC15CHRA003</t>
  </si>
  <si>
    <t>AK-24-282</t>
  </si>
  <si>
    <t>AK-25-347</t>
  </si>
  <si>
    <t>AK-25-269</t>
  </si>
  <si>
    <t>AK-25-077</t>
  </si>
  <si>
    <t>AK-25-466</t>
  </si>
  <si>
    <t>City Experts</t>
  </si>
  <si>
    <t>AK-25-224</t>
  </si>
  <si>
    <t>AK-25-439</t>
  </si>
  <si>
    <t>AK-25-471</t>
  </si>
  <si>
    <t>Injaz Al Madina</t>
  </si>
  <si>
    <t>Al Saad Bldg cont</t>
  </si>
  <si>
    <t>STRENGTHENING</t>
  </si>
  <si>
    <t>Al Barsha South</t>
  </si>
  <si>
    <t>1st, Terrace</t>
  </si>
  <si>
    <t>Hor Al Anz</t>
  </si>
  <si>
    <t>1st, 2nd, Roof, T Roof</t>
  </si>
  <si>
    <t>Grand Signature</t>
  </si>
  <si>
    <t>AK-25-303</t>
  </si>
  <si>
    <t>SS Lootah Contracting</t>
  </si>
  <si>
    <t>JPMVIL071-072</t>
  </si>
  <si>
    <t>Jumeirah Park Villa</t>
  </si>
  <si>
    <t>G+3P+19+R Model</t>
  </si>
  <si>
    <t>Barsha South Sci Park</t>
  </si>
  <si>
    <t>P1 to P3, 1 to 19, L Roof</t>
  </si>
  <si>
    <t>294A</t>
  </si>
  <si>
    <t>294B</t>
  </si>
  <si>
    <t>294C</t>
  </si>
  <si>
    <t>294D</t>
  </si>
  <si>
    <t>294E</t>
  </si>
  <si>
    <t>Satwa</t>
  </si>
  <si>
    <t>P, 1, 2-7, 8, R</t>
  </si>
  <si>
    <t>G+P+8+R Aroma (413) J243</t>
  </si>
  <si>
    <t>G+P+8+R Aroma (417) J244</t>
  </si>
  <si>
    <t>G+P+8+R Aroma (739) J245</t>
  </si>
  <si>
    <t>G+P+8+R Aroma (740) J246</t>
  </si>
  <si>
    <t>G+P+8+R Aroma (938) J247</t>
  </si>
  <si>
    <t>P, 1, 2-8, R</t>
  </si>
  <si>
    <t>1, LR, UR</t>
  </si>
  <si>
    <t>TO START</t>
  </si>
  <si>
    <t>AK-25-451</t>
  </si>
  <si>
    <t>AK-25-452</t>
  </si>
  <si>
    <t>Injaz Al Madina 3-2</t>
  </si>
  <si>
    <t>Injaz Al Madina 3-3</t>
  </si>
  <si>
    <t>AK-25-095</t>
  </si>
  <si>
    <t>AK-25-453</t>
  </si>
  <si>
    <t>AK-25-472</t>
  </si>
  <si>
    <t>Shaanxi</t>
  </si>
  <si>
    <t>AK-25-229</t>
  </si>
  <si>
    <t>Model Engg</t>
  </si>
  <si>
    <t>DNA</t>
  </si>
  <si>
    <t>555 GOV</t>
  </si>
  <si>
    <t>Al Majaz 03</t>
  </si>
  <si>
    <t>Pkg1, Pkg4, 1-11, R</t>
  </si>
  <si>
    <t>439/689</t>
  </si>
  <si>
    <t>P1 to P5, 2-12, R</t>
  </si>
  <si>
    <t>Mahata</t>
  </si>
  <si>
    <t>Dubai Hills, Dubai</t>
  </si>
  <si>
    <t>SBM-Strengthening</t>
  </si>
  <si>
    <t>MUNAWEL INTERIORS Strengthening</t>
  </si>
  <si>
    <t>City Experts-Burjeel Hospital- (Strengthening)</t>
  </si>
  <si>
    <t>AK-25-222</t>
  </si>
  <si>
    <t>AK-25-476</t>
  </si>
  <si>
    <t>Forces Bldg Contracting</t>
  </si>
  <si>
    <t>AK-25-254</t>
  </si>
  <si>
    <t>Luxridge Contracting</t>
  </si>
  <si>
    <t>AK-25-431</t>
  </si>
  <si>
    <t>N-Mosque Completed</t>
  </si>
  <si>
    <t xml:space="preserve">1st, Roof, </t>
  </si>
  <si>
    <t>1st + R Villa + Garagge</t>
  </si>
  <si>
    <t>scanning</t>
  </si>
  <si>
    <t>Aashiyana_Jadaf</t>
  </si>
  <si>
    <t>Al Jadaf, Dubai</t>
  </si>
  <si>
    <t>P1, P2, P3, 1-9, R</t>
  </si>
  <si>
    <t>P1, P2,P3, 1-16, LR, TR</t>
  </si>
  <si>
    <t>GF, P1, P2, 1-10</t>
  </si>
  <si>
    <t>RC-71</t>
  </si>
  <si>
    <t>1-4, R, Roof Deck, U. Roof</t>
  </si>
  <si>
    <t>P1, P2, P3, P4, 1-18, Roof</t>
  </si>
  <si>
    <t xml:space="preserve"> P1,P2,P3, 1 to 23, Roof</t>
  </si>
  <si>
    <t>Project status</t>
  </si>
  <si>
    <t>Running</t>
  </si>
  <si>
    <t>1,2, 3, 4, 5, 6</t>
  </si>
  <si>
    <t>Umm Suqueim</t>
  </si>
  <si>
    <t>AK-25-461</t>
  </si>
  <si>
    <t>Villa  -Smart Structure Cont.</t>
  </si>
  <si>
    <t>Al Majaz 03, Abu Dhabi</t>
  </si>
  <si>
    <t>GF, 1st Roof</t>
  </si>
  <si>
    <t>AK-25-609</t>
  </si>
  <si>
    <t>AK-24-656</t>
  </si>
  <si>
    <t>AK-25-481</t>
  </si>
  <si>
    <t>AK-25-415</t>
  </si>
  <si>
    <t>AK-25-279</t>
  </si>
  <si>
    <t>AK-25-209</t>
  </si>
  <si>
    <t>B+G+5 Naf Cont</t>
  </si>
  <si>
    <t>C13-H-27</t>
  </si>
  <si>
    <t>GF, 1, 2-4, 5, LR, UR</t>
  </si>
  <si>
    <t>Warsan 4th, Dubai</t>
  </si>
  <si>
    <t xml:space="preserve">G+1+R Uniforce </t>
  </si>
  <si>
    <t>GF, 1st</t>
  </si>
  <si>
    <t>G+2P+12 Resi Bldg</t>
  </si>
  <si>
    <t>Dubai Island</t>
  </si>
  <si>
    <t>P1, P2, 1-12, LR</t>
  </si>
  <si>
    <t>G+P+5+R Crystal Cont</t>
  </si>
  <si>
    <t>IC3-B-39</t>
  </si>
  <si>
    <t>P, 1-5, LR</t>
  </si>
  <si>
    <t>G+5P+35+R TAK CONST</t>
  </si>
  <si>
    <t>Al Barsha South 4th</t>
  </si>
  <si>
    <t>P1-P5, 1-35, R</t>
  </si>
  <si>
    <t>AK-25-552</t>
  </si>
  <si>
    <t xml:space="preserve">AD Police Engg, Al Nasiya </t>
  </si>
  <si>
    <t>Auditorium Bldg</t>
  </si>
  <si>
    <t>B+G+2P+21 Al Masood Nat</t>
  </si>
  <si>
    <t>G+2P+10, Well Concept</t>
  </si>
  <si>
    <t>G+2 Villa, Kanzalard Bldg C</t>
  </si>
  <si>
    <t>Jabel Ali First, Dubai</t>
  </si>
  <si>
    <t>Tiger_Renald tower_2B+G&amp;M+4P+37F+R</t>
  </si>
  <si>
    <t>1ST, Roof</t>
  </si>
  <si>
    <t>Vinoth Kumar</t>
  </si>
  <si>
    <t>Dinesh Kumar</t>
  </si>
  <si>
    <t>Ram Bahadur</t>
  </si>
  <si>
    <t>running</t>
  </si>
  <si>
    <t>To Start</t>
  </si>
  <si>
    <t>Projects running with movable manpower</t>
  </si>
  <si>
    <t>AK-25-550</t>
  </si>
  <si>
    <t>643-9765</t>
  </si>
  <si>
    <t>Liwan, Dubai</t>
  </si>
  <si>
    <t>1,2, 3, 4, Roof</t>
  </si>
  <si>
    <t>AK-25-688</t>
  </si>
  <si>
    <t>Golden Wall Villa 26</t>
  </si>
  <si>
    <t>BC, GF, RF</t>
  </si>
  <si>
    <t>P-07-026</t>
  </si>
  <si>
    <t>Zorah Dev, Ajman</t>
  </si>
  <si>
    <t>Walk Thru Contracting</t>
  </si>
  <si>
    <t>Aalia</t>
  </si>
  <si>
    <t>Hassan Allam Const RAK</t>
  </si>
  <si>
    <t>AK-24-601</t>
  </si>
  <si>
    <t>AK-25-286</t>
  </si>
  <si>
    <t xml:space="preserve">Atcon Arena Towers </t>
  </si>
  <si>
    <t xml:space="preserve"> 4, 5 bal</t>
  </si>
  <si>
    <t>1-21, Roof</t>
  </si>
  <si>
    <t>Manikandan Ayyasamy</t>
  </si>
  <si>
    <t>G+2+R Jumeirah Park Al Maeraj</t>
  </si>
  <si>
    <t>Strand Cutting &amp; Marking</t>
  </si>
  <si>
    <t>Dubai Sports City</t>
  </si>
  <si>
    <t>Running Count</t>
  </si>
  <si>
    <t>Laying/ Installation</t>
  </si>
  <si>
    <t>Avonlea 2</t>
  </si>
  <si>
    <t>Al Rakha Avonlea 1</t>
  </si>
  <si>
    <t xml:space="preserve">Naf G+2P+6 </t>
  </si>
  <si>
    <t>Al Awir, Dubai</t>
  </si>
  <si>
    <t>AK-25-724</t>
  </si>
  <si>
    <t>AK-25-405</t>
  </si>
  <si>
    <t>AK-25-632</t>
  </si>
  <si>
    <t>G+4+Roof, BIN Malek</t>
  </si>
  <si>
    <t>G+B+4P+26F+R Model Engg</t>
  </si>
  <si>
    <t>JVT02IHRA100</t>
  </si>
  <si>
    <t>G+P+12F TA + 12F TB</t>
  </si>
  <si>
    <t>AFC037A, 037B</t>
  </si>
  <si>
    <t>Jabal Ali 1st-591</t>
  </si>
  <si>
    <t>P, 1 TO 12, R</t>
  </si>
  <si>
    <t>DIA-RE-0183</t>
  </si>
  <si>
    <t>UG, G, P1, P2, 1-8, LR</t>
  </si>
  <si>
    <t>Muhaisnah First, Dubai</t>
  </si>
  <si>
    <t>AK-25-351</t>
  </si>
  <si>
    <t>Venkateshwar</t>
  </si>
  <si>
    <t>Selvamani Annamalai, MOHAMMAD ASHRAF(Hassan) ALI</t>
  </si>
  <si>
    <t>ANNAMALAI ANNADURAI</t>
  </si>
  <si>
    <t>Barsha</t>
  </si>
  <si>
    <t>GF, P1, P2, 1, Attic, 2 - 21, R</t>
  </si>
  <si>
    <t>Marjan Island, RAK</t>
  </si>
  <si>
    <t>Onix Plus</t>
  </si>
  <si>
    <t>1, 2-5,6, R</t>
  </si>
  <si>
    <t>AK-25-213</t>
  </si>
  <si>
    <t>AK-25-715</t>
  </si>
  <si>
    <t>MODEL ENGG</t>
  </si>
  <si>
    <t>AK-25-725</t>
  </si>
  <si>
    <t>AK-25-761</t>
  </si>
  <si>
    <t>AK-25</t>
  </si>
  <si>
    <t>AL BAIT ENG CONSLT</t>
  </si>
  <si>
    <t>AK-25-689</t>
  </si>
  <si>
    <t>AK-25-810</t>
  </si>
  <si>
    <t>AMMON CONTRACTNG</t>
  </si>
  <si>
    <t>AK-25-708</t>
  </si>
  <si>
    <t>AK-25-495</t>
  </si>
  <si>
    <t>AK-25-712</t>
  </si>
  <si>
    <t>Zabeel 2, Dubai</t>
  </si>
  <si>
    <t>B+G+P+9 RAK</t>
  </si>
  <si>
    <t>MRA-55 &amp; MRA-57</t>
  </si>
  <si>
    <t>Al Marjan Island, RAK</t>
  </si>
  <si>
    <t>Basement, Foundation</t>
  </si>
  <si>
    <t xml:space="preserve">RAK Academy - Chicago </t>
  </si>
  <si>
    <t>GF, 1-13,LR, UR</t>
  </si>
  <si>
    <t>Al Wasl Dubai</t>
  </si>
  <si>
    <t>Al Murar, Dubai</t>
  </si>
  <si>
    <t>GF, M, 1-4, R, UR</t>
  </si>
  <si>
    <t>G,1, R</t>
  </si>
  <si>
    <t>Al Qahera Contracting [Strengthening] Pelagos</t>
  </si>
  <si>
    <t>Sadayappa/Ravi</t>
  </si>
  <si>
    <t>AK-031</t>
  </si>
  <si>
    <t>AK-25-487</t>
  </si>
  <si>
    <t>AK-25-752</t>
  </si>
  <si>
    <t>AK-25-548</t>
  </si>
  <si>
    <t>AK-25-718</t>
  </si>
  <si>
    <t>AK-25-877</t>
  </si>
  <si>
    <t>SHINE SQUARE</t>
  </si>
  <si>
    <t>ALLIED</t>
  </si>
  <si>
    <t>AL SHAFAR G+3P+19+R</t>
  </si>
  <si>
    <t>Al Hebiah 4th</t>
  </si>
  <si>
    <t>AL QAHERA</t>
  </si>
  <si>
    <t>Jabal Ali 1st</t>
  </si>
  <si>
    <t>AECS</t>
  </si>
  <si>
    <t>IMPZ Dubai</t>
  </si>
  <si>
    <t>G+4 BIN MALEK</t>
  </si>
  <si>
    <t>Wadi Al Safa 2</t>
  </si>
  <si>
    <t>B+G+2P+10+R MODEL</t>
  </si>
  <si>
    <t>G+2P+12</t>
  </si>
  <si>
    <t>JVC13IMRA005</t>
  </si>
  <si>
    <t>Wadi Safi, Barari</t>
  </si>
  <si>
    <t>G+1 TEKTON</t>
  </si>
  <si>
    <t>B+G+M+4+R</t>
  </si>
  <si>
    <t>AK-25-448</t>
  </si>
  <si>
    <t>G+3P+19+R</t>
  </si>
  <si>
    <t>Al Furjan 15 Villas</t>
  </si>
  <si>
    <t>B+G+3P+20</t>
  </si>
  <si>
    <t>Palani Muthu</t>
  </si>
  <si>
    <t>1st, 2ND, 3RD, R</t>
  </si>
  <si>
    <t>Mahendra Kumar</t>
  </si>
  <si>
    <t>Hussein</t>
  </si>
  <si>
    <t>MANPOWER REQUIRED</t>
  </si>
  <si>
    <t>M, P1 to P3, 1 - 48, Mech 1,2,TR</t>
  </si>
  <si>
    <t>P1-P4, 1-5, 6-18, R</t>
  </si>
  <si>
    <t>1,2, Roof</t>
  </si>
  <si>
    <t>1st, Lroof</t>
  </si>
  <si>
    <t>AK-25-047</t>
  </si>
  <si>
    <t>2B+G+10P+37+R Tiger</t>
  </si>
  <si>
    <t>Business Bay</t>
  </si>
  <si>
    <t>B,GF,P1-P10, 1-37,R, UR, Deck R</t>
  </si>
  <si>
    <t>AK-25-840</t>
  </si>
  <si>
    <t>B+G+3P+19+R Lux Ridge</t>
  </si>
  <si>
    <t>Barsha South</t>
  </si>
  <si>
    <t>B,GF,3P,19,R</t>
  </si>
  <si>
    <t>AK-25-946</t>
  </si>
  <si>
    <t>Villa 606-707 Strengthening</t>
  </si>
  <si>
    <t>AK-25-438</t>
  </si>
  <si>
    <t>Wadi Al Safa</t>
  </si>
  <si>
    <t>AK-25-837</t>
  </si>
  <si>
    <t>DIA-RE-0215</t>
  </si>
  <si>
    <t>Dubai Islands</t>
  </si>
  <si>
    <t>P,1-6,R,TR</t>
  </si>
  <si>
    <t>AK-25-884</t>
  </si>
  <si>
    <t>G+3P+13 Golden Bldg Cont.</t>
  </si>
  <si>
    <t>Al Mamzar, Dubai</t>
  </si>
  <si>
    <t>P1-P3, 1-13, R, UR</t>
  </si>
  <si>
    <t>AK-25-894 -T1</t>
  </si>
  <si>
    <t>AK-25-894 -T2</t>
  </si>
  <si>
    <t>Ajman</t>
  </si>
  <si>
    <t>B,G,M,P1,P2,P3,1-21,R 3TWR</t>
  </si>
  <si>
    <t>AK-25-865</t>
  </si>
  <si>
    <t>B+G+5P+50+R Tiger</t>
  </si>
  <si>
    <t>A37</t>
  </si>
  <si>
    <t>Al Khan, Sharjah</t>
  </si>
  <si>
    <t>P1-P5, 1-50,R, TR</t>
  </si>
  <si>
    <t>AK-25-759</t>
  </si>
  <si>
    <t>Sharjah</t>
  </si>
  <si>
    <t>G+GP+15TYP INJAZ</t>
  </si>
  <si>
    <t>Ak-25-872</t>
  </si>
  <si>
    <t>1B+G+1P+13+R Rabat</t>
  </si>
  <si>
    <t>GF, P, 1-13, R, TR</t>
  </si>
  <si>
    <t>PT Manpower Vacation List</t>
  </si>
  <si>
    <t>AK-25-786</t>
  </si>
  <si>
    <t>G+3P+20F+R TAK Const</t>
  </si>
  <si>
    <t>Kandan Narayansamy</t>
  </si>
  <si>
    <t>Pappu Chunnu Prasad</t>
  </si>
  <si>
    <t>Total Site Staff</t>
  </si>
  <si>
    <t>With Eng Islam Civil Works</t>
  </si>
  <si>
    <t>With Eng Mamdouh</t>
  </si>
  <si>
    <t>Vacation</t>
  </si>
  <si>
    <t>TYCOON</t>
  </si>
  <si>
    <t>Current PT Staff</t>
  </si>
  <si>
    <t>1st, 2nd, 3rd, 4th, R, UR</t>
  </si>
  <si>
    <t>1st - 6TH, R</t>
  </si>
  <si>
    <t>1, 2, 3, 4, R, TR</t>
  </si>
  <si>
    <t>Actual Site Total PT STAFF</t>
  </si>
  <si>
    <t>AK-25-954</t>
  </si>
  <si>
    <t>Barsha South 3</t>
  </si>
  <si>
    <t>P1,P2,1-6,LR,UR</t>
  </si>
  <si>
    <t>AK-25-931</t>
  </si>
  <si>
    <t>P1 to P3, 1to 4, LR, UR</t>
  </si>
  <si>
    <t>AK-25-758</t>
  </si>
  <si>
    <t>P, 1-6, R</t>
  </si>
  <si>
    <t>DIA-RE-0238</t>
  </si>
  <si>
    <t>G+3P+4+R NAF</t>
  </si>
  <si>
    <t>G+2P+6TYP+R Golden Bldg</t>
  </si>
  <si>
    <t>AK-25-667</t>
  </si>
  <si>
    <t>G+8+R NAF</t>
  </si>
  <si>
    <t>DIA-RE-0194</t>
  </si>
  <si>
    <t>P1,P2, 1-8,R</t>
  </si>
  <si>
    <t>AK-25-960</t>
  </si>
  <si>
    <t>AK-25-904</t>
  </si>
  <si>
    <t>AK-25-844</t>
  </si>
  <si>
    <t>AK-25-955</t>
  </si>
  <si>
    <t>CITY EXPERTS</t>
  </si>
  <si>
    <t>AK-25-984</t>
  </si>
  <si>
    <t>AK-25-964</t>
  </si>
  <si>
    <t>AK-25-945</t>
  </si>
  <si>
    <t>WOODCO</t>
  </si>
  <si>
    <t>TONINI</t>
  </si>
  <si>
    <t>AK-25-540</t>
  </si>
  <si>
    <t>FAJA</t>
  </si>
  <si>
    <t>2B+G+19 CEG CAPITAL ONE</t>
  </si>
  <si>
    <t>B, G, 1-19, R,TR</t>
  </si>
  <si>
    <t>Jebak ALI 1ST</t>
  </si>
  <si>
    <t>1-13, ROOF, sola</t>
  </si>
  <si>
    <t>1-13,R</t>
  </si>
  <si>
    <t>Saih Al suhaib, DIC</t>
  </si>
  <si>
    <t>1,2,3,R</t>
  </si>
  <si>
    <t>B+G+4 ARABCO</t>
  </si>
  <si>
    <t>Jabel Ali Indst 1</t>
  </si>
  <si>
    <t>1,2-4, R</t>
  </si>
  <si>
    <t>HK TWIN TOWER-0137</t>
  </si>
  <si>
    <t>HK TWIN TOWER-0138</t>
  </si>
  <si>
    <t>DIA-R-0137</t>
  </si>
  <si>
    <t>DIA-R-0138</t>
  </si>
  <si>
    <t>P1,P2, 1-12, Roof</t>
  </si>
  <si>
    <t>NADD Al Shiba First</t>
  </si>
  <si>
    <t>Raft, First, Second</t>
  </si>
  <si>
    <t>1, 2, roof</t>
  </si>
  <si>
    <t>1,2,3, 4, 5, 6, 7, HC, TR</t>
  </si>
  <si>
    <t>1, 2, 3, 4,5,6, R</t>
  </si>
  <si>
    <t>P,1 to 8,R</t>
  </si>
  <si>
    <t>AK-25-1004</t>
  </si>
  <si>
    <t>G+4 RE-22 Uniforce</t>
  </si>
  <si>
    <t>AK-25-996</t>
  </si>
  <si>
    <t>Bond Interiors</t>
  </si>
  <si>
    <t>AK-25-702</t>
  </si>
  <si>
    <t>Wedding Hall Aroma</t>
  </si>
  <si>
    <t>Parking, 1st, 2nd, 3rd, Roof</t>
  </si>
  <si>
    <t>Manikandan Marimuttu</t>
  </si>
  <si>
    <t xml:space="preserve">Pankaj </t>
  </si>
  <si>
    <t>completed</t>
  </si>
  <si>
    <t>ONLY DESIGN</t>
  </si>
  <si>
    <t>1, 2 done</t>
  </si>
  <si>
    <t>Gf, 1st.2nd, R</t>
  </si>
  <si>
    <t>1-9, R</t>
  </si>
  <si>
    <t>P1</t>
  </si>
  <si>
    <t>1, 2</t>
  </si>
  <si>
    <t>P,1 to 8, R</t>
  </si>
  <si>
    <t>P5,2-12,R</t>
  </si>
  <si>
    <t>GF, 1</t>
  </si>
  <si>
    <t>2-5, R, TR</t>
  </si>
  <si>
    <t>P1 tp P5, P5 High lvl, 1-20, Roof</t>
  </si>
  <si>
    <t>Nad Al Shiba First</t>
  </si>
  <si>
    <t>Expected START DATE</t>
  </si>
  <si>
    <t>Expected Completion DATE</t>
  </si>
  <si>
    <t>January, 2026</t>
  </si>
  <si>
    <t>B+G+M &amp; G+1+R Casais</t>
  </si>
  <si>
    <t>Pool, GF, 1st, Roof</t>
  </si>
  <si>
    <t>G+3P+4+R Al Maeraj Cont.</t>
  </si>
  <si>
    <t>B1, GF, 3P, 1, 2-14, R</t>
  </si>
  <si>
    <t>P,1 to 5, R</t>
  </si>
  <si>
    <t>Terrace</t>
  </si>
  <si>
    <t>AK-25-249</t>
  </si>
  <si>
    <t>RE-22</t>
  </si>
  <si>
    <t>1, 2-4, Roof</t>
  </si>
  <si>
    <t>AK-25-1006</t>
  </si>
  <si>
    <t>Jumeirah 3rd, Dubai</t>
  </si>
  <si>
    <t>AK-25-881</t>
  </si>
  <si>
    <t>AC-F-15</t>
  </si>
  <si>
    <t>DWC, DUBAI</t>
  </si>
  <si>
    <t>AK-25-532</t>
  </si>
  <si>
    <t>AK-25-1062</t>
  </si>
  <si>
    <t>AK-25-1007</t>
  </si>
  <si>
    <t>AK-25-1023</t>
  </si>
  <si>
    <t>1,2,3</t>
  </si>
  <si>
    <t>LR</t>
  </si>
  <si>
    <t>R</t>
  </si>
  <si>
    <t>1, 2, 3</t>
  </si>
  <si>
    <t>2 to 21, R</t>
  </si>
  <si>
    <t>Level 2 - 21, R</t>
  </si>
  <si>
    <t>1, R</t>
  </si>
  <si>
    <t>GF, 1 - 5, R</t>
  </si>
  <si>
    <t>B+G+1 Villa Jessr Cont</t>
  </si>
  <si>
    <t>AK-25-116</t>
  </si>
  <si>
    <t>18,19,20, 25, 28, 30, 44, 49 Golden Wall Villas</t>
  </si>
  <si>
    <t>G+1+R DIRHAM Cont</t>
  </si>
  <si>
    <t>DWC AMANA</t>
  </si>
  <si>
    <t>G+4 STAFF SAM Bldg Cont.</t>
  </si>
  <si>
    <t>High Beam Villa 909</t>
  </si>
  <si>
    <t>B+G+8+R Globecon</t>
  </si>
  <si>
    <t>AK-25-295</t>
  </si>
  <si>
    <t>B+G+1 Ankora Shafar Villa</t>
  </si>
  <si>
    <t>AK-25-1121</t>
  </si>
  <si>
    <t>DIA-MU-N01B</t>
  </si>
  <si>
    <t>AK-25-1050</t>
  </si>
  <si>
    <t xml:space="preserve">B+G+1 NAF </t>
  </si>
  <si>
    <t>Jabel Ali</t>
  </si>
  <si>
    <t>AK-25-1022</t>
  </si>
  <si>
    <t>G+4+R Shine Square</t>
  </si>
  <si>
    <t>RB-39</t>
  </si>
  <si>
    <t>AK-25-1056</t>
  </si>
  <si>
    <t>AK-25-968</t>
  </si>
  <si>
    <t>G+6+R Abaj Cont.</t>
  </si>
  <si>
    <t>Dubai Aviation City</t>
  </si>
  <si>
    <t>AK-25-1117</t>
  </si>
  <si>
    <t>G+4+R Abaj Cont</t>
  </si>
  <si>
    <t>RG-54</t>
  </si>
  <si>
    <t>RF-01</t>
  </si>
  <si>
    <t>1-6, LR, UR</t>
  </si>
  <si>
    <t>1-4, Roof</t>
  </si>
  <si>
    <t>GF, 1, 2</t>
  </si>
  <si>
    <t>P1, P2 1-14, R</t>
  </si>
  <si>
    <t>Al Arjan</t>
  </si>
  <si>
    <t>GF, 1-8, Pool deck, Roof</t>
  </si>
  <si>
    <t>Jebel Ali Indus</t>
  </si>
  <si>
    <t>1 to 4, Roof</t>
  </si>
  <si>
    <t>G+1 Villa MBC</t>
  </si>
  <si>
    <t>Al Rashidiya</t>
  </si>
  <si>
    <t>1,2, Roof, Service Floor</t>
  </si>
  <si>
    <t>1, Roof, Uroof</t>
  </si>
  <si>
    <t>Praveen Ganeshan</t>
  </si>
  <si>
    <t>Tamil Rasan</t>
  </si>
  <si>
    <t>Saminathan Pazhni</t>
  </si>
  <si>
    <t>Tekton Construction + Renaissance conslt</t>
  </si>
  <si>
    <t>AK-25-763</t>
  </si>
  <si>
    <t>B+G+9 Jeikor</t>
  </si>
  <si>
    <t>AK-24-258</t>
  </si>
  <si>
    <t>B+G+4P+28+R Jade Tiger</t>
  </si>
  <si>
    <t>GF, P-P4, 1-28, R</t>
  </si>
  <si>
    <t>GF, 1-9, LR</t>
  </si>
  <si>
    <t>Grouting in Progress</t>
  </si>
  <si>
    <t>Grouting Completed</t>
  </si>
  <si>
    <t>Grouting Pending for Concreted Slabs</t>
  </si>
  <si>
    <t>Stressing Report Done/ Balance</t>
  </si>
  <si>
    <t>Stressing Preparation/ To Start</t>
  </si>
  <si>
    <t>Stressing in Progress/ Expected Finish</t>
  </si>
  <si>
    <t>PO Issued floor/ Status - Hold</t>
  </si>
  <si>
    <t>Material Available at site for floors</t>
  </si>
  <si>
    <t>Project Management Details</t>
  </si>
  <si>
    <t>MATERIAL</t>
  </si>
  <si>
    <t>STRESSING</t>
  </si>
  <si>
    <t>GROUTING</t>
  </si>
  <si>
    <t>INSTALLATION</t>
  </si>
  <si>
    <t>CONCRETE Done/                             In Progress/      Scheduled</t>
  </si>
  <si>
    <t>PROJECT TRACKING</t>
  </si>
  <si>
    <t>INVOICE &amp; PAYMENT CERTIFICATE</t>
  </si>
  <si>
    <t>COMMERCIAL STATUS</t>
  </si>
  <si>
    <t>CLOSEOUT DOCUMENTS</t>
  </si>
  <si>
    <t>As Built Drawing Last completed level</t>
  </si>
  <si>
    <t>As Built Drawing Balance to do</t>
  </si>
  <si>
    <t>Claimed Slabs till date</t>
  </si>
  <si>
    <t xml:space="preserve"> Payment Certificate Received Slabs till date</t>
  </si>
  <si>
    <t>Pending Payment Certificates for slabs</t>
  </si>
  <si>
    <t>NIL</t>
  </si>
  <si>
    <t>All Floors Balance</t>
  </si>
  <si>
    <t>To Update</t>
  </si>
  <si>
    <t>Overdue Payment amount</t>
  </si>
  <si>
    <t>N/A</t>
  </si>
  <si>
    <t>Nil</t>
  </si>
  <si>
    <t>Payment received for slabs</t>
  </si>
  <si>
    <t>Level 4</t>
  </si>
  <si>
    <t>Upto 4th Pt 5</t>
  </si>
  <si>
    <t>Level 5</t>
  </si>
  <si>
    <t>PAYMENT DETAILS</t>
  </si>
  <si>
    <t>Upto 14</t>
  </si>
  <si>
    <t>Advance</t>
  </si>
  <si>
    <t>Submission Status</t>
  </si>
  <si>
    <t>-</t>
  </si>
  <si>
    <t>To update</t>
  </si>
  <si>
    <t>Pod 1</t>
  </si>
  <si>
    <t>P,1,2,3,4</t>
  </si>
  <si>
    <t>GF</t>
  </si>
  <si>
    <t>Upto 13</t>
  </si>
  <si>
    <t>NS</t>
  </si>
  <si>
    <t>Pod 3</t>
  </si>
  <si>
    <t>Pod 2, 3</t>
  </si>
  <si>
    <t>Pod 1, 2</t>
  </si>
  <si>
    <t>GF, P1 to P3</t>
  </si>
  <si>
    <t>NIl</t>
  </si>
  <si>
    <t>P1 to P3</t>
  </si>
  <si>
    <t>Upto Level 1</t>
  </si>
  <si>
    <t>B1, GF, 1st</t>
  </si>
  <si>
    <t>GF, 1,</t>
  </si>
  <si>
    <t xml:space="preserve">Nil </t>
  </si>
  <si>
    <t>B1,GF,M, P1-P4, L1, Deck L1, L2-L13, L15-L37, RF</t>
  </si>
  <si>
    <t>P, 1 to 10, R</t>
  </si>
  <si>
    <t>P1, P2, 1, to 8, LR</t>
  </si>
  <si>
    <t>AK-24-140 (Maskan) Bldg 5</t>
  </si>
  <si>
    <t>AK-24-140 (Majlis) Bldg 3</t>
  </si>
  <si>
    <t>AK-24-140 (Manzel) Bldg 4</t>
  </si>
  <si>
    <t>AK-24-140 (Makany) Bldg 6</t>
  </si>
  <si>
    <t>lvl 6 Pt 1 Rep Bal</t>
  </si>
  <si>
    <t>OVERDUE DETAILS                            (For Followup)</t>
  </si>
  <si>
    <t>All Balance</t>
  </si>
  <si>
    <t>AK-25-1126</t>
  </si>
  <si>
    <t>P+G+4F+R InjazM Warsan</t>
  </si>
  <si>
    <t xml:space="preserve">Warsan </t>
  </si>
  <si>
    <t>AK-25-1045</t>
  </si>
  <si>
    <t>2B+G+13+R Autolink Seraph</t>
  </si>
  <si>
    <t>Wadi Al Safa 5</t>
  </si>
  <si>
    <t>AK-25-1060</t>
  </si>
  <si>
    <t>G+P+6 Ocean Pearl1</t>
  </si>
  <si>
    <t>G+P+6 Ocean Pearl2</t>
  </si>
  <si>
    <t>AK-25-1061</t>
  </si>
  <si>
    <t>AK-25-1097</t>
  </si>
  <si>
    <t>Barsha 2nd</t>
  </si>
  <si>
    <t>G+4P+15+R Luxridge</t>
  </si>
  <si>
    <t>1P-4P, 1LS, 1US, 2 to 15, R,UR</t>
  </si>
  <si>
    <t>1-6, Roof</t>
  </si>
  <si>
    <t>DIA-RE-0191_0192</t>
  </si>
  <si>
    <t>DIA-RE-0203_0204</t>
  </si>
  <si>
    <t>1-13, R</t>
  </si>
  <si>
    <t>GF, 1-4, R, Main F,R, TR</t>
  </si>
  <si>
    <t>Wadi Al Safa 3</t>
  </si>
  <si>
    <t>PJCRC328</t>
  </si>
  <si>
    <t>Naklat Jumeirah 381</t>
  </si>
  <si>
    <t>upto lvl 7 on 24/01/26</t>
  </si>
  <si>
    <t>1B+G+2P+15 TAK</t>
  </si>
  <si>
    <t>AFMU019B</t>
  </si>
  <si>
    <t>Furjan</t>
  </si>
  <si>
    <r>
      <t xml:space="preserve">ITAL TECH Samana B+G+4P+27+PH.FR (Hilal Conslt) - </t>
    </r>
    <r>
      <rPr>
        <b/>
        <sz val="12"/>
        <color theme="1"/>
        <rFont val="Calibri"/>
        <family val="2"/>
        <scheme val="minor"/>
      </rPr>
      <t>BV01</t>
    </r>
  </si>
  <si>
    <t xml:space="preserve"> P1, P2, 1-8, Roof</t>
  </si>
  <si>
    <t>P1 to P5, P5 High lvl, 1-32, Roof</t>
  </si>
  <si>
    <t>All Levels</t>
  </si>
  <si>
    <t>Received Amount till date (includes PDC recd)</t>
  </si>
  <si>
    <t>Overdue Amount for Slabs</t>
  </si>
  <si>
    <t>Level 6 on 24/01/26</t>
  </si>
  <si>
    <t>Upto Roof on 24/01/26</t>
  </si>
  <si>
    <t>To Do</t>
  </si>
  <si>
    <t>Pod 1 to do</t>
  </si>
  <si>
    <t>P1 Pt1&amp;Pt2 on 24/01</t>
  </si>
  <si>
    <t>4 on 24/01</t>
  </si>
  <si>
    <t>1st on 24/01</t>
  </si>
  <si>
    <t>Pod 2, on 24/01</t>
  </si>
  <si>
    <t>upto 2 on 24/01</t>
  </si>
  <si>
    <t xml:space="preserve">To Do </t>
  </si>
  <si>
    <t>Upto lvl 7</t>
  </si>
  <si>
    <t>upt 8 Zb, 6th Za on 24/01</t>
  </si>
  <si>
    <t>lvl 2 on 24/01</t>
  </si>
  <si>
    <t>Lvl 1 on 24/01</t>
  </si>
  <si>
    <t>Pod 4 on 24/01</t>
  </si>
  <si>
    <t>Lvl1 Pt1,2,3,3A, Pod 1 Pt5,6,7; Pod 2 Pt4&amp;5 on 24/01</t>
  </si>
  <si>
    <t>GF on 24/01</t>
  </si>
  <si>
    <t>upto 16 on 24/01</t>
  </si>
  <si>
    <t>1st Pt 1,2,3 on 24/01</t>
  </si>
  <si>
    <t>upto 5 on 24/01</t>
  </si>
  <si>
    <t>1st floor Mtrl</t>
  </si>
  <si>
    <t>upto 15th on 24/01</t>
  </si>
  <si>
    <t>upto 13th on 24/01</t>
  </si>
  <si>
    <t>upto lvl 4 on 24/01</t>
  </si>
  <si>
    <t>upto 4 on 24/01</t>
  </si>
  <si>
    <t>1st on 24/12</t>
  </si>
  <si>
    <t>P1-P4, 1-40, R</t>
  </si>
  <si>
    <t>AK-25-853</t>
  </si>
  <si>
    <t>G+4 Janus Model</t>
  </si>
  <si>
    <t>AK-26-019</t>
  </si>
  <si>
    <t>AK-25-1070</t>
  </si>
  <si>
    <t>AK-25-704</t>
  </si>
  <si>
    <t>AK-25-1089</t>
  </si>
  <si>
    <t>G+2P+8+R Shine Square</t>
  </si>
  <si>
    <t>AK-25-1101</t>
  </si>
  <si>
    <t>G+4F+R Loft</t>
  </si>
  <si>
    <t>AK-25-766</t>
  </si>
  <si>
    <t>AK-26-020</t>
  </si>
  <si>
    <t>G+4 Al Maeraj</t>
  </si>
  <si>
    <t>RE-14</t>
  </si>
  <si>
    <t>GF, 1-4, LR, UR</t>
  </si>
  <si>
    <t>G+2P+10+R OST</t>
  </si>
  <si>
    <t>Nad Al Hammar</t>
  </si>
  <si>
    <t>P1, P2, 1-9</t>
  </si>
  <si>
    <t>G+4P+31+Mech+R Luxridge</t>
  </si>
  <si>
    <t>Wadi Safa 3</t>
  </si>
  <si>
    <t>UD, GF, P1-P4, 1-31, R</t>
  </si>
  <si>
    <t>B+G+5+R ROME 1</t>
  </si>
  <si>
    <t>WADI AL SAFA</t>
  </si>
  <si>
    <t>DIA-RE-0226</t>
  </si>
  <si>
    <t>DUBAI ISLAND</t>
  </si>
  <si>
    <t>P1,P2,1-8,R</t>
  </si>
  <si>
    <t>1-4,R,UR</t>
  </si>
  <si>
    <t>NAD AL SHIBA</t>
  </si>
  <si>
    <t>RG-86</t>
  </si>
  <si>
    <t>DUBAI SOUTH</t>
  </si>
  <si>
    <t>UG,GF,1-4,R</t>
  </si>
  <si>
    <t>Feb, 2026</t>
  </si>
  <si>
    <t>Claimed upto Pod 2</t>
  </si>
  <si>
    <t>AREA/INVOICE VERIFICATION</t>
  </si>
  <si>
    <t>To do</t>
  </si>
  <si>
    <t>Status</t>
  </si>
  <si>
    <t>Done</t>
  </si>
  <si>
    <t>TO DO</t>
  </si>
  <si>
    <t>P6 Pt1, Done &amp; Pt 2 Prog</t>
  </si>
  <si>
    <t>Bldg 5, 6 upto lvl 10 completed</t>
  </si>
  <si>
    <t>GF, P1, P2, P3 Done</t>
  </si>
  <si>
    <t>Recevied</t>
  </si>
  <si>
    <t>Ravi</t>
  </si>
  <si>
    <t xml:space="preserve">Muthu Mayakannan, </t>
  </si>
  <si>
    <t>Arun Kumar</t>
  </si>
  <si>
    <t>1,2,3,4, LR</t>
  </si>
  <si>
    <t>GF, 1 to 9</t>
  </si>
  <si>
    <t>P1, P2, SPool, 1-10, Roof</t>
  </si>
  <si>
    <t>Moustafa</t>
  </si>
  <si>
    <t>Hanifa</t>
  </si>
  <si>
    <t xml:space="preserve">     </t>
  </si>
  <si>
    <t>Lvl 3, 4, 5</t>
  </si>
  <si>
    <t>AK-25-1115</t>
  </si>
  <si>
    <t>AK-26-111</t>
  </si>
  <si>
    <t>AK-26-055</t>
  </si>
  <si>
    <t>AK-25-530</t>
  </si>
  <si>
    <t>AK-26-072</t>
  </si>
  <si>
    <t>AK-26-139</t>
  </si>
  <si>
    <t>AK-25-907</t>
  </si>
  <si>
    <t>AK-25-615</t>
  </si>
  <si>
    <t>AK-25-852</t>
  </si>
  <si>
    <t>AK-25-480</t>
  </si>
  <si>
    <t>Elton Real Estate (Model)</t>
  </si>
  <si>
    <t>Nad Al Shiba</t>
  </si>
  <si>
    <t>G+1+R Al Harith</t>
  </si>
  <si>
    <t>G+5P+15 AL SERH KABEER</t>
  </si>
  <si>
    <t>SHARJAH</t>
  </si>
  <si>
    <t>G+2P+8F+R FAJA</t>
  </si>
  <si>
    <t>G+1 Alpha Matrix</t>
  </si>
  <si>
    <t>Sobha Hartland</t>
  </si>
  <si>
    <t>LS Design</t>
  </si>
  <si>
    <t>La Mer Villa</t>
  </si>
  <si>
    <t>G+M+Services Julfar Masjid</t>
  </si>
  <si>
    <t>DIA-RE-0209</t>
  </si>
  <si>
    <t>G+1P+8TYP+R Mothaberoon</t>
  </si>
  <si>
    <t>B+G+4+R MODEL</t>
  </si>
  <si>
    <t>3B+G+3P+20 MODEL</t>
  </si>
  <si>
    <t>1, RF, TR</t>
  </si>
  <si>
    <t>1-4Prkg, 5th prkg, 1-15 typ</t>
  </si>
  <si>
    <t>1-8,RF, UR</t>
  </si>
  <si>
    <t>1, RF, UR</t>
  </si>
  <si>
    <t>P, 1-8, Terrace RF</t>
  </si>
  <si>
    <t>lvl 8 Pt1</t>
  </si>
  <si>
    <t xml:space="preserve">1 Pt1,2, 3 </t>
  </si>
  <si>
    <t>Raft, GF, P1, P2, 1 to 14, Roof</t>
  </si>
  <si>
    <t>GF P1, P2, 1 -8</t>
  </si>
  <si>
    <t>1,2,3, 4, 5, Roof</t>
  </si>
  <si>
    <t>1, R, TR</t>
  </si>
  <si>
    <t>3-19,R</t>
  </si>
  <si>
    <t>Meydan</t>
  </si>
  <si>
    <t>Abu Dhabi. Jubail</t>
  </si>
  <si>
    <t>AK-24-628</t>
  </si>
  <si>
    <t>3, 4, Roof</t>
  </si>
  <si>
    <t>1 Pt1,2, 3  Rep Done</t>
  </si>
  <si>
    <t>1, 2, 3, 4, 5, 6, 7, 8</t>
  </si>
  <si>
    <t>P1,P2, AM, 1-15</t>
  </si>
  <si>
    <t>Lvl 8</t>
  </si>
  <si>
    <t>Lvl 7 done</t>
  </si>
  <si>
    <t>lvl 8 pt 2</t>
  </si>
  <si>
    <t xml:space="preserve">Running </t>
  </si>
  <si>
    <t>B2, B1, GF, 1 to 17, R</t>
  </si>
  <si>
    <t>1,2,3, 4, LR, UR</t>
  </si>
  <si>
    <t>GF, 1 to 5, R, UR</t>
  </si>
  <si>
    <t>P,1,2, 3, 4, 5</t>
  </si>
  <si>
    <t>DHCN G+4</t>
  </si>
  <si>
    <t>Upto Pod 5 done, Pod 5 High Lvl b, 1 Done</t>
  </si>
  <si>
    <t>AK-26-057</t>
  </si>
  <si>
    <t>TERRA HEIGHTS EAST COAST</t>
  </si>
  <si>
    <t xml:space="preserve">1B </t>
  </si>
  <si>
    <t>EXPO LIVING, DUBAI</t>
  </si>
  <si>
    <t>AK-24-064</t>
  </si>
  <si>
    <t>G+4P+6 LOFT</t>
  </si>
  <si>
    <t>AK-25-1043</t>
  </si>
  <si>
    <t>B+G+4+R CONVRGNT</t>
  </si>
  <si>
    <t>AK-26-154</t>
  </si>
  <si>
    <t>MEÁISM 1ST</t>
  </si>
  <si>
    <t>AK-26-096</t>
  </si>
  <si>
    <t>G+4 SKADA</t>
  </si>
  <si>
    <t>G+2P+7TYP+R AL SERH K</t>
  </si>
  <si>
    <t>RC61</t>
  </si>
  <si>
    <t xml:space="preserve">606 HI BEAM </t>
  </si>
  <si>
    <t>AK-25-915</t>
  </si>
  <si>
    <t>NEXT ENGG 7 TIDES</t>
  </si>
  <si>
    <t>AK-25-705</t>
  </si>
  <si>
    <t>B+G+5+R ROME 2 SAMANA</t>
  </si>
  <si>
    <t>NAD AL SHEBA</t>
  </si>
  <si>
    <t>AK-26-012</t>
  </si>
  <si>
    <t>2B+G+8+R SAMANA BUSS PARK</t>
  </si>
  <si>
    <t>WADI AL SAFA 3</t>
  </si>
  <si>
    <t>B1+GF+1 - 8, R, TR</t>
  </si>
  <si>
    <t>Mahtesh</t>
  </si>
  <si>
    <t>ACUBE CELESTIA TOWER</t>
  </si>
  <si>
    <t>RAJA ARUMUGAM</t>
  </si>
  <si>
    <t xml:space="preserve"> MURUGAN CHANDIRAN</t>
  </si>
  <si>
    <t xml:space="preserve">Palanisamy Pachamuthu </t>
  </si>
  <si>
    <t>VENKATESAN VADAMALI</t>
  </si>
  <si>
    <t>SENDAMARIA KANDAN</t>
  </si>
  <si>
    <t>MARIMUTHU PARAMASIVAM + Akash Velu</t>
  </si>
  <si>
    <t xml:space="preserve">EZHUMALAI SAMIDURAI </t>
  </si>
  <si>
    <r>
      <t xml:space="preserve">Perisamy Kannan + </t>
    </r>
    <r>
      <rPr>
        <sz val="11"/>
        <color theme="1"/>
        <rFont val="Calibri"/>
        <family val="2"/>
        <charset val="1"/>
        <scheme val="minor"/>
      </rPr>
      <t>Prem Kumar</t>
    </r>
  </si>
  <si>
    <t xml:space="preserve"> Muthu Marimuthu + Surender Kumar</t>
  </si>
  <si>
    <t>AYYAPPAN ATHAIMOOLAM + Surendra BABU</t>
  </si>
  <si>
    <t>Ayman (PT Works) PT</t>
  </si>
  <si>
    <t>Ali Mahrous</t>
  </si>
  <si>
    <t>SIVAKUMAR PERUMAL + TAHA</t>
  </si>
  <si>
    <t>Islam Saad + Ahmed Farhat</t>
  </si>
  <si>
    <t>Venkadeswaran Velu</t>
  </si>
  <si>
    <t>Donga Venkat + Anand Make</t>
  </si>
  <si>
    <t>SURESH KANDAN, ESLAM Emadeldin</t>
  </si>
  <si>
    <t>SENTHIL KUMAR, DINESH MARUDAI, Sanyasi Mani; Lamloum Ibrahim</t>
  </si>
  <si>
    <t xml:space="preserve"> Mohamed Badr, Sr Badr, Chinnasamy Massy</t>
  </si>
  <si>
    <t>NAME</t>
  </si>
  <si>
    <t>ETA</t>
  </si>
  <si>
    <t>To Project</t>
  </si>
  <si>
    <t>Eslam Soliman +   Medhat</t>
  </si>
  <si>
    <t>Rajajrajan Govindraj + Youssef ere garage</t>
  </si>
  <si>
    <t>Ramesh Kannan</t>
  </si>
  <si>
    <t>Pivot Abu Dhabi</t>
  </si>
  <si>
    <t>5 to 13, Lroof</t>
  </si>
  <si>
    <t>B1, GF, M, P1, P2, P3,P4, 1 - 13, 15-20-22</t>
  </si>
  <si>
    <t>L23-L37, RF</t>
  </si>
  <si>
    <t>P1 to P4, 1 to 16-18 pa1</t>
  </si>
  <si>
    <t>18 pa2 to 40 + R</t>
  </si>
  <si>
    <t>3PA2-14, R</t>
  </si>
  <si>
    <t>G, 1-13, Roof</t>
  </si>
  <si>
    <t>G, 1, 2, 3, 4, 5, 6.7</t>
  </si>
  <si>
    <t>8-13, R</t>
  </si>
  <si>
    <t>1 to 21</t>
  </si>
  <si>
    <t>Private Villa Al Abbar</t>
  </si>
  <si>
    <t>B1, GF, P1, P2, P3, 1, 2, 3PA1</t>
  </si>
  <si>
    <t>podium-1 to pdoium-2, level-1 to level13, roof</t>
  </si>
  <si>
    <t>podium-1-podium-2, level-1 to level-9 part-1</t>
  </si>
  <si>
    <t>podium-1-podium-2, level-1 to level-8</t>
  </si>
  <si>
    <t>level-9 part-2,  leve-10-level-13, roof</t>
  </si>
  <si>
    <t>level-9-level-13, roof</t>
  </si>
  <si>
    <t>level-2,3</t>
  </si>
  <si>
    <t>TR</t>
  </si>
  <si>
    <t>MEZ, R</t>
  </si>
  <si>
    <t>top roof</t>
  </si>
  <si>
    <t>p3 p-2, p4, 1-18, Roof</t>
  </si>
  <si>
    <t>podium-2(part-6,8), podium-3(part-5,6,7,8), level-1 (part-4,5,6,7,8)</t>
  </si>
  <si>
    <t>10 TO ROOF</t>
  </si>
  <si>
    <t xml:space="preserve"> AM, 1-15</t>
  </si>
  <si>
    <t>P1 Pt-2, p2,p3,1to20,R</t>
  </si>
  <si>
    <t>4, R</t>
  </si>
  <si>
    <t>B1, GF, 1, 2, 3,4</t>
  </si>
  <si>
    <t>P1, P2, P3,1 - 12, R</t>
  </si>
  <si>
    <t>1 , R</t>
  </si>
  <si>
    <t>first+second floor</t>
  </si>
  <si>
    <t>P1,P2, P3, P4.pa5</t>
  </si>
  <si>
    <t>GF, P1, P2,1 -7-8-9</t>
  </si>
  <si>
    <t>1,2</t>
  </si>
  <si>
    <t>GF,P1, P2, P3, 1, 2.3.4.5</t>
  </si>
  <si>
    <t>p1</t>
  </si>
  <si>
    <t>TOTAL ACTUAL PROJECT AREA</t>
  </si>
  <si>
    <t>G+2P+ 14TA+14TB MBC</t>
  </si>
  <si>
    <t>SK-24-282</t>
  </si>
  <si>
    <t>G+2+R AL MAERAJ</t>
  </si>
  <si>
    <t>JPMVIL 071-072</t>
  </si>
  <si>
    <t>JUMEIRAH PARK</t>
  </si>
  <si>
    <t xml:space="preserve">Iraz Properties Globecon Contracting </t>
  </si>
  <si>
    <t>AK-26-152</t>
  </si>
  <si>
    <t>AK-26-259</t>
  </si>
  <si>
    <t>SCANNING</t>
  </si>
  <si>
    <t>AK-26-261</t>
  </si>
  <si>
    <t>EMIRATES ORBIT G+MEZZZ</t>
  </si>
  <si>
    <t>BATHROOM</t>
  </si>
  <si>
    <t>AK-26-263</t>
  </si>
  <si>
    <t>G+2+R BLACK TULIP</t>
  </si>
  <si>
    <t>AK-26-300</t>
  </si>
  <si>
    <t>3B+G+12+R SHINE SQUARE</t>
  </si>
  <si>
    <t>AK-26-276</t>
  </si>
  <si>
    <t>AK-25-777</t>
  </si>
  <si>
    <t>3B+G+21 SAMANA</t>
  </si>
  <si>
    <t>AK-26-360</t>
  </si>
  <si>
    <t>B+G+12 SHINE SQUARE</t>
  </si>
  <si>
    <t>AK-25-800</t>
  </si>
  <si>
    <t>G+4 CALGARY PROPERTIES</t>
  </si>
  <si>
    <t>G+2P+12 KATA DORA ITEC</t>
  </si>
  <si>
    <t>1P, 2P, 1-12, RF</t>
  </si>
  <si>
    <t>1, ROOF, TR</t>
  </si>
  <si>
    <t>IC3-01.01</t>
  </si>
  <si>
    <t>Warsan fourth</t>
  </si>
  <si>
    <t>1-11, TERRACE</t>
  </si>
  <si>
    <t>DHE-PA15.002</t>
  </si>
  <si>
    <t>DUBAI HILLS</t>
  </si>
  <si>
    <t>B+G+2, 2 TOWERS A 20 &amp; TOWER B 19 FLOORS TURATH AL ASEEL</t>
  </si>
  <si>
    <t>ME'ALISEM 1ST</t>
  </si>
  <si>
    <t>1-21, ROOF</t>
  </si>
  <si>
    <t>WARSAN 4TH 624</t>
  </si>
  <si>
    <t>RC-73</t>
  </si>
  <si>
    <t>GF, 1-4, ROOF</t>
  </si>
  <si>
    <t>G+1P+6+R Indo Gulf P189</t>
  </si>
  <si>
    <t>Submitted</t>
  </si>
  <si>
    <t>AK-25-343</t>
  </si>
  <si>
    <t>Emirates Hills</t>
  </si>
  <si>
    <t>R67</t>
  </si>
  <si>
    <t xml:space="preserve">B+G+1+R Teraciel P396-R67 </t>
  </si>
  <si>
    <t>GF, 1st, R, UR</t>
  </si>
  <si>
    <t>Lvl 10 Part 3</t>
  </si>
  <si>
    <t>SITE STATUS (09-05-26)</t>
  </si>
  <si>
    <t>Maintenance/ Top steel Progress</t>
  </si>
  <si>
    <t>9th part 2</t>
  </si>
  <si>
    <t>9th part 2 &amp; 11th part 4</t>
  </si>
  <si>
    <t xml:space="preserve">Lvl 2, 3, 4, 5 all Done </t>
  </si>
  <si>
    <t>lvl 6, 7, 8, lvl  9- pt3,4,5</t>
  </si>
  <si>
    <t>1 to 8, lvl 9 pt3, 4, 5 &amp; lvl 10 pt 4, 5 &amp; 11th pt 4</t>
  </si>
  <si>
    <t>9th pt-1, 10th pt 1,3 -11th pt1,3,5 &amp; 12, 13, R</t>
  </si>
  <si>
    <t>GF, P, 1-11, Roof Zone1</t>
  </si>
  <si>
    <t>Roof Zone 2</t>
  </si>
  <si>
    <t>roof zone 2</t>
  </si>
  <si>
    <t>11th zone 2</t>
  </si>
  <si>
    <t>GF, P, 1 - 7  done</t>
  </si>
  <si>
    <t>8 to 11, R-Z1</t>
  </si>
  <si>
    <t>1-4,R</t>
  </si>
  <si>
    <t>Project HOLD</t>
  </si>
  <si>
    <t xml:space="preserve">Pod1 to P5, P5 High Lvl, </t>
  </si>
  <si>
    <t xml:space="preserve"> 1-32, Roof</t>
  </si>
  <si>
    <t>1st low lvl</t>
  </si>
  <si>
    <t>Pod 5 Low lvl</t>
  </si>
  <si>
    <t>p2 low</t>
  </si>
  <si>
    <t>P2 to P5</t>
  </si>
  <si>
    <t>upto lvl 2</t>
  </si>
  <si>
    <t>1 to 5</t>
  </si>
  <si>
    <t>Gf, 1 to 3</t>
  </si>
  <si>
    <t>1ST PT1,2 BAL</t>
  </si>
  <si>
    <t>P2</t>
  </si>
  <si>
    <t>4,5,LR,UR</t>
  </si>
  <si>
    <t>3 PT 2</t>
  </si>
  <si>
    <t>3 PT 1 BAL</t>
  </si>
  <si>
    <t>2, 3 PT 1</t>
  </si>
  <si>
    <t>P1 - P3, 1</t>
  </si>
  <si>
    <t>2 to 4, LR, UR</t>
  </si>
  <si>
    <t>1 PT3,4</t>
  </si>
  <si>
    <t>P3,1ST PT1,2</t>
  </si>
  <si>
    <t>GF Dm apvd</t>
  </si>
  <si>
    <t>1 to 3</t>
  </si>
  <si>
    <t>4,5,R,TR</t>
  </si>
  <si>
    <t xml:space="preserve"> 1-5, R, TR</t>
  </si>
  <si>
    <t>1-5, R, TR</t>
  </si>
  <si>
    <t>2-11, TERRACE</t>
  </si>
  <si>
    <t>P1, P2, P3,1 to 22</t>
  </si>
  <si>
    <t xml:space="preserve"> 23, Roof</t>
  </si>
  <si>
    <t>22 done</t>
  </si>
  <si>
    <t>21,22</t>
  </si>
  <si>
    <t>1, ROOF</t>
  </si>
  <si>
    <t>1ST PT 4, ROOF PT 4</t>
  </si>
  <si>
    <t>ON HOLD</t>
  </si>
  <si>
    <t>Pod 1, Pod 2,sw.pool, 1-5</t>
  </si>
  <si>
    <t>6-10, Roof</t>
  </si>
  <si>
    <t>5 DONE</t>
  </si>
  <si>
    <t>Pod1,2, LVL 2</t>
  </si>
  <si>
    <t>LVL 1</t>
  </si>
  <si>
    <t>3,4,5</t>
  </si>
  <si>
    <t xml:space="preserve">Pod1, Pod2 Pt-1,2; POD 3 PT1, POD 4 PT 1, POD 5 PT 1 </t>
  </si>
  <si>
    <t>POD2 PT3</t>
  </si>
  <si>
    <t>1ST PT 1</t>
  </si>
  <si>
    <t>POD PT2</t>
  </si>
  <si>
    <t>POD PT1</t>
  </si>
  <si>
    <t>1ST PT1,2;</t>
  </si>
  <si>
    <t>2ND PT1,2</t>
  </si>
  <si>
    <t>1ST PT1,2 DONE</t>
  </si>
  <si>
    <t>1ST PT 2</t>
  </si>
  <si>
    <t>SPORTS BLDG 1, 1ST PT1</t>
  </si>
  <si>
    <t>SPORTS 1ST PT1</t>
  </si>
  <si>
    <t>P1,P2, AM, 1</t>
  </si>
  <si>
    <t>Pod1</t>
  </si>
  <si>
    <t>P1 Pt-1,2; P2 PT1, P3 PT1</t>
  </si>
  <si>
    <t>ALL BAL</t>
  </si>
  <si>
    <t>p1, 1, 2</t>
  </si>
  <si>
    <t>2 DONE</t>
  </si>
  <si>
    <t>POD 1PT 1</t>
  </si>
  <si>
    <t>REST BAL</t>
  </si>
  <si>
    <t>P1, P2, 1</t>
  </si>
  <si>
    <t>P1,</t>
  </si>
  <si>
    <t>POD 2</t>
  </si>
  <si>
    <t>POD 1</t>
  </si>
  <si>
    <t>upto 20</t>
  </si>
  <si>
    <t>on hold</t>
  </si>
  <si>
    <t>GF,1, to 9, LR</t>
  </si>
  <si>
    <t xml:space="preserve">Pod2 Pt-1,2; POD 3 PT1, POD 4 PT 1, POD 5 PT 1 </t>
  </si>
  <si>
    <t>P2, AM, 1</t>
  </si>
  <si>
    <t>1-4, R</t>
  </si>
  <si>
    <t xml:space="preserve"> 3-6, R</t>
  </si>
  <si>
    <t>P2, 1-12, Roof</t>
  </si>
  <si>
    <t>4 bal</t>
  </si>
  <si>
    <t>B1, GF, 1,2</t>
  </si>
  <si>
    <t>LEVEL-3, 4</t>
  </si>
  <si>
    <t>Podium-1 TO Podium-4, Level-1-Level-11</t>
  </si>
  <si>
    <t>11 zA</t>
  </si>
  <si>
    <t>11 ZB</t>
  </si>
  <si>
    <t>upto lvl 7 done</t>
  </si>
  <si>
    <t>lvl 3, 4 bal</t>
  </si>
  <si>
    <t>Podium-1 to  Podium-5 , Podium-5 High level, Level-1 to Level-7</t>
  </si>
  <si>
    <t>Podium-1 to podium-5, level-1 to level-6</t>
  </si>
  <si>
    <t>6 done</t>
  </si>
  <si>
    <t>upto lvl 2 done</t>
  </si>
  <si>
    <t>3,4,5,6</t>
  </si>
  <si>
    <t>GF, Podium-1 to Podium-4, 1 - 4</t>
  </si>
  <si>
    <t>Level-5 to level-27, ph flr</t>
  </si>
  <si>
    <t>4 pt 1</t>
  </si>
  <si>
    <t>PODIUM-4, LEVEL-1, 2,3,4</t>
  </si>
  <si>
    <t xml:space="preserve">podium-1, 2 full complete,  podium-3(part-1,2,3,3a,4, 6),  level-1 (part-1,2,3,3a), lvl 2 pt1,2,3; lvl3 pat,1,2,3; lvl pt 1,2,; lvl 4 Pt1,2,3); lvl 5(Pt1,2,3) </t>
  </si>
  <si>
    <t>(lvl 4 &amp; 5 pt 1,2,3); pod 2 pt 8; pod 3 pt 4,5</t>
  </si>
  <si>
    <t xml:space="preserve">pod1, pod2 pt1,2,3,3a,4,5,6,7; pod3 pt1,2,3,3a; lvl 1 pt1,2,3,3a; (lvl2&amp;3 pt1,2,3); </t>
  </si>
  <si>
    <t>Ground floor, 1st</t>
  </si>
  <si>
    <t>level-2, roof</t>
  </si>
  <si>
    <t xml:space="preserve"> level-1 to level-27, ph floor</t>
  </si>
  <si>
    <t xml:space="preserve">pod4 z2; </t>
  </si>
  <si>
    <t>pod4 z1</t>
  </si>
  <si>
    <t>upto pod  2</t>
  </si>
  <si>
    <t>pod3</t>
  </si>
  <si>
    <t>Level-2 to level-4, roof</t>
  </si>
  <si>
    <t>lvl 1 pt 2 done</t>
  </si>
  <si>
    <t>lvl 1 pt1</t>
  </si>
  <si>
    <t>lvl 2</t>
  </si>
  <si>
    <t>PODIUM-1, PODIUM-2 pt1</t>
  </si>
  <si>
    <t>pod2 pt2; pod3</t>
  </si>
  <si>
    <t>GF pt1,2,3</t>
  </si>
  <si>
    <t>GF pt4</t>
  </si>
  <si>
    <t>GF pt1,2 done</t>
  </si>
  <si>
    <t>GF pt3</t>
  </si>
  <si>
    <t>GF pt1</t>
  </si>
  <si>
    <t>GF pt2</t>
  </si>
  <si>
    <t>upto lvl 6, Lvl7pt1; lvl 8</t>
  </si>
  <si>
    <t>level7 pt2;-level 9-13, roof</t>
  </si>
  <si>
    <t xml:space="preserve">upyo 8 all Gtg done; </t>
  </si>
  <si>
    <t>level-9-to 13, roof, non tower area</t>
  </si>
  <si>
    <t>upto lvl 8 done;</t>
  </si>
  <si>
    <t>lvl 9 bal; lvl 10 pt 2</t>
  </si>
  <si>
    <t>upto lvl 9</t>
  </si>
  <si>
    <t>lvl 10 pt1</t>
  </si>
  <si>
    <t>Level-12-Level-17,LR Deck slab</t>
  </si>
  <si>
    <t>Level-8 to level-20 , roof</t>
  </si>
  <si>
    <t>level-7 to level-19, roof</t>
  </si>
  <si>
    <t>GF, 1, 2, R</t>
  </si>
  <si>
    <t>1-4+R</t>
  </si>
  <si>
    <t>2,3,4,R</t>
  </si>
  <si>
    <t>GF, P1 to P4, 1 to 27, R, Lift R</t>
  </si>
  <si>
    <t xml:space="preserve">GF,P1 TO P4; </t>
  </si>
  <si>
    <t xml:space="preserve"> P1-P3, 1-4, LR, UR</t>
  </si>
  <si>
    <t>P1,P2,P3,1</t>
  </si>
  <si>
    <t>GF pt4, 1-8, Pool deck, R</t>
  </si>
  <si>
    <t>cancelled</t>
  </si>
  <si>
    <t>CANCELLED PROJECT</t>
  </si>
  <si>
    <t>P1, 1,2,3</t>
  </si>
  <si>
    <t>4-6, R, TR</t>
  </si>
  <si>
    <t>3 pt2,3</t>
  </si>
  <si>
    <t>Podium, 1st, 2nd, 3rd pt 1</t>
  </si>
  <si>
    <t xml:space="preserve">Podium 1 LEVEL - B1,B13,B17,B19,B14; </t>
  </si>
  <si>
    <t>Pod1-B1</t>
  </si>
  <si>
    <t>Pod1 -B17,B19, B1</t>
  </si>
  <si>
    <t>Pod1-B1 DONE</t>
  </si>
  <si>
    <t>pod1-B9,</t>
  </si>
  <si>
    <t>Pod1-B5</t>
  </si>
  <si>
    <t>Pod1-B16</t>
  </si>
  <si>
    <t>1 done</t>
  </si>
  <si>
    <t>P1, P2, P3, P4-Pt1</t>
  </si>
  <si>
    <t>Pod4 Pt 1 Done</t>
  </si>
  <si>
    <t>P1, P2, P3,</t>
  </si>
  <si>
    <t>Pod4 Pt 1</t>
  </si>
  <si>
    <t>level 1</t>
  </si>
  <si>
    <t>1, 2, R, TR</t>
  </si>
  <si>
    <t>R, TR</t>
  </si>
  <si>
    <t>2B+G+M+(15+18+21)+R Tiger Orchid 4,5,6</t>
  </si>
  <si>
    <t>2B+G+M+(15+18+21)+R Tiger Orchid 1,2,3</t>
  </si>
  <si>
    <t>3,4,HC</t>
  </si>
  <si>
    <t>P1, P2,1,2, 3, 4</t>
  </si>
  <si>
    <t>4 - done</t>
  </si>
  <si>
    <t xml:space="preserve">P1, P2,1,2, 3, </t>
  </si>
  <si>
    <t>1, 2-Pt1,2</t>
  </si>
  <si>
    <t>Lvl 2 Pt1,2 bal</t>
  </si>
  <si>
    <t>lvl 2 pt3,4</t>
  </si>
  <si>
    <t>lvl 2 pt 5</t>
  </si>
  <si>
    <t>5,6,LR,UR</t>
  </si>
  <si>
    <t>2-13,R</t>
  </si>
  <si>
    <t>AK-26-369</t>
  </si>
  <si>
    <t>2B+G+13F+R Razanco</t>
  </si>
  <si>
    <t>Dubailand</t>
  </si>
  <si>
    <t>AK-26-299</t>
  </si>
  <si>
    <t>G+P+9 TYP+R Al Serh Kabeer Mina</t>
  </si>
  <si>
    <t xml:space="preserve">B8.01.08 </t>
  </si>
  <si>
    <t>Mina Rashid</t>
  </si>
  <si>
    <t>AK-26-275</t>
  </si>
  <si>
    <t>G+5P+15TYp Al Serh Kabeer Shj</t>
  </si>
  <si>
    <t>A52</t>
  </si>
  <si>
    <t>AK-26-392</t>
  </si>
  <si>
    <t>HAO Arch.</t>
  </si>
  <si>
    <t>Impz G16</t>
  </si>
  <si>
    <t>AK-26-396</t>
  </si>
  <si>
    <t>AK-26-384</t>
  </si>
  <si>
    <t>B.G+G+5P+20+R, Luminar 3</t>
  </si>
  <si>
    <t>Al Barsha</t>
  </si>
  <si>
    <t>AK-26-336</t>
  </si>
  <si>
    <t>G+5+R RES. &amp; COMM. Bldg Miami</t>
  </si>
  <si>
    <t xml:space="preserve">NADD Al Shiba </t>
  </si>
  <si>
    <t>1-5, Roof</t>
  </si>
  <si>
    <t>P1-P5, 1-20, R</t>
  </si>
  <si>
    <t>P1, P2, 1-6, Terrace</t>
  </si>
  <si>
    <t>HAO Arch. 130</t>
  </si>
  <si>
    <t>B, GF, 1-8, UR</t>
  </si>
  <si>
    <t>1-13, R, UR</t>
  </si>
  <si>
    <t>1st to 4th Prkg, 5 lwr Prkg, 5 Upr Prkg, 1-10, R</t>
  </si>
  <si>
    <t>P, 1-9, R</t>
  </si>
  <si>
    <t>On Hold</t>
  </si>
  <si>
    <t>G+2P+8 AECS</t>
  </si>
  <si>
    <t>Praveen</t>
  </si>
  <si>
    <t>Muthu Maya Kanan</t>
  </si>
  <si>
    <t>RAMAN ALAGAPPAN,  Durai Palani,  Chinnadurai Periyasamy, Venkatesh Shaktivel,  Vigneshwaran,</t>
  </si>
  <si>
    <t>Kandasamy+ Sivasankar + RAMKI MANIKKAM + Ramar Sadayan + Suresh Malboni</t>
  </si>
  <si>
    <t>Ravi/Scanning</t>
  </si>
  <si>
    <t>27 done</t>
  </si>
  <si>
    <t>upto 24</t>
  </si>
  <si>
    <t>28 RCC SLAB</t>
  </si>
  <si>
    <t>26,27, 28RCC slab</t>
  </si>
  <si>
    <t>25 P1</t>
  </si>
  <si>
    <t>25 P2</t>
  </si>
  <si>
    <t>24 P1 done</t>
  </si>
  <si>
    <t>24 P2</t>
  </si>
  <si>
    <t>Gtg lvl 21 done</t>
  </si>
  <si>
    <t>lvl 6</t>
  </si>
  <si>
    <t>GF, P1, P2, P3, 1 to 3 Done</t>
  </si>
  <si>
    <t>4, 5</t>
  </si>
  <si>
    <t>lvl 9 done</t>
  </si>
  <si>
    <t>GF Gtg Done; P1, 1 - 7  done</t>
  </si>
  <si>
    <t>8. 9</t>
  </si>
  <si>
    <t xml:space="preserve">lvl 1 pt 1- 4 </t>
  </si>
  <si>
    <t>lvl 1 pt 5 to 8</t>
  </si>
  <si>
    <t xml:space="preserve">pod 2, </t>
  </si>
  <si>
    <t>Pod 2, 3, 4</t>
  </si>
  <si>
    <t>lvl 13 done</t>
  </si>
  <si>
    <t>lvl 15</t>
  </si>
  <si>
    <t>upto lvl 12, 13</t>
  </si>
  <si>
    <t>9 inprogres</t>
  </si>
  <si>
    <t>7, 8 balance</t>
  </si>
  <si>
    <t>Pod 1 Maint</t>
  </si>
  <si>
    <t>Orch6 - B1</t>
  </si>
  <si>
    <t>Orch5 B1 Done</t>
  </si>
  <si>
    <t>Pod 2 Done</t>
  </si>
  <si>
    <t>1st Pt 1</t>
  </si>
  <si>
    <t>GF Done</t>
  </si>
  <si>
    <t>GROUTING STATUS</t>
  </si>
  <si>
    <t>All Done</t>
  </si>
  <si>
    <t>UR BAL</t>
  </si>
  <si>
    <t>ROOF</t>
  </si>
  <si>
    <t>G+P+6+R Autolink Nuvana</t>
  </si>
  <si>
    <t xml:space="preserve">B+G+13 Design Hub DLRC </t>
  </si>
  <si>
    <t>Saih Suhaib</t>
  </si>
  <si>
    <t>Mezz, Roof</t>
  </si>
  <si>
    <t>Motor City</t>
  </si>
  <si>
    <t>AK-26-059</t>
  </si>
  <si>
    <t>G+4+R AMVIN GROUP</t>
  </si>
  <si>
    <t>AK-26-373</t>
  </si>
  <si>
    <t>C-31; 2B+G+15+R+TR BURTPLACE</t>
  </si>
  <si>
    <t>AK-26-410</t>
  </si>
  <si>
    <t>F-06; 1B+G+9+R BURTPLACE</t>
  </si>
  <si>
    <t>AK-26-353</t>
  </si>
  <si>
    <t>AK-26-245</t>
  </si>
  <si>
    <t>B+G+7 FLORA ISLE</t>
  </si>
  <si>
    <t>Khalifa City, AD</t>
  </si>
  <si>
    <t>SE45_02 - C14</t>
  </si>
  <si>
    <t>YS2-17</t>
  </si>
  <si>
    <t>YAS Island</t>
  </si>
  <si>
    <t>5-15, R</t>
  </si>
  <si>
    <t>B+G+6 THK CONSTR</t>
  </si>
  <si>
    <t>SAIH SHUAIB 2</t>
  </si>
  <si>
    <t>B,G,1-5,LR</t>
  </si>
  <si>
    <t>AK-26-435</t>
  </si>
  <si>
    <t>G+2P+12 BJORG</t>
  </si>
  <si>
    <t>G+1F Al Awir Belmont</t>
  </si>
  <si>
    <t>AL AWIR 1ST</t>
  </si>
  <si>
    <r>
      <t xml:space="preserve">BARARI VIEWS 2 SAMANA </t>
    </r>
    <r>
      <rPr>
        <b/>
        <sz val="11"/>
        <color theme="1"/>
        <rFont val="Calibri"/>
        <family val="2"/>
        <scheme val="minor"/>
      </rPr>
      <t>BV 02</t>
    </r>
  </si>
  <si>
    <t>Sadayappan</t>
  </si>
  <si>
    <t>Raman/ Sadayappan</t>
  </si>
  <si>
    <t>Raman/ Ravi</t>
  </si>
  <si>
    <t>PM/ Sr. P.E.</t>
  </si>
  <si>
    <t>Suresh Kandan</t>
  </si>
  <si>
    <t>Aiyyappan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</si>
</sst>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d\-mmm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name val="Calibri"/>
      <family val="2"/>
      <charset val="1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64" fontId="6" fillId="2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" fontId="6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4" fontId="6" fillId="6" borderId="1" xfId="1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4" fontId="6" fillId="3" borderId="4" xfId="1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164" fontId="6" fillId="6" borderId="2" xfId="1" applyNumberFormat="1" applyFont="1" applyFill="1" applyBorder="1" applyAlignment="1">
      <alignment horizontal="center" vertical="center"/>
    </xf>
    <xf numFmtId="164" fontId="6" fillId="3" borderId="2" xfId="1" applyNumberFormat="1" applyFont="1" applyFill="1" applyBorder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164" fontId="6" fillId="2" borderId="5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7" fillId="0" borderId="0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164" fontId="12" fillId="0" borderId="19" xfId="1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164" fontId="0" fillId="2" borderId="19" xfId="1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164" fontId="0" fillId="2" borderId="19" xfId="1" applyNumberFormat="1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" fontId="0" fillId="2" borderId="13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7" fontId="0" fillId="0" borderId="19" xfId="0" applyNumberFormat="1" applyBorder="1" applyAlignment="1">
      <alignment horizontal="center" vertical="center"/>
    </xf>
    <xf numFmtId="15" fontId="0" fillId="2" borderId="19" xfId="0" applyNumberFormat="1" applyFill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2" borderId="19" xfId="0" applyNumberForma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6" fillId="14" borderId="41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14" borderId="41" xfId="0" applyFont="1" applyFill="1" applyBorder="1" applyAlignment="1">
      <alignment horizontal="center" vertical="center"/>
    </xf>
    <xf numFmtId="164" fontId="16" fillId="14" borderId="4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14" borderId="4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0" fontId="16" fillId="14" borderId="43" xfId="0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15" borderId="4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6" fillId="14" borderId="43" xfId="0" applyFont="1" applyFill="1" applyBorder="1" applyAlignment="1">
      <alignment horizontal="center" vertical="center" wrapText="1"/>
    </xf>
    <xf numFmtId="164" fontId="16" fillId="14" borderId="43" xfId="0" applyNumberFormat="1" applyFont="1" applyFill="1" applyBorder="1" applyAlignment="1">
      <alignment horizontal="center" vertical="center"/>
    </xf>
    <xf numFmtId="164" fontId="16" fillId="14" borderId="41" xfId="0" applyNumberFormat="1" applyFont="1" applyFill="1" applyBorder="1" applyAlignment="1">
      <alignment horizontal="center" vertical="center" wrapText="1"/>
    </xf>
    <xf numFmtId="164" fontId="16" fillId="0" borderId="41" xfId="0" applyNumberFormat="1" applyFont="1" applyBorder="1" applyAlignment="1">
      <alignment horizontal="center" vertical="center"/>
    </xf>
    <xf numFmtId="164" fontId="16" fillId="15" borderId="41" xfId="0" applyNumberFormat="1" applyFont="1" applyFill="1" applyBorder="1" applyAlignment="1">
      <alignment horizontal="center" vertical="center" wrapText="1"/>
    </xf>
    <xf numFmtId="164" fontId="6" fillId="6" borderId="4" xfId="1" applyNumberFormat="1" applyFont="1" applyFill="1" applyBorder="1" applyAlignment="1">
      <alignment horizontal="center" vertical="center"/>
    </xf>
    <xf numFmtId="164" fontId="16" fillId="14" borderId="42" xfId="0" applyNumberFormat="1" applyFont="1" applyFill="1" applyBorder="1" applyAlignment="1">
      <alignment horizontal="center" vertical="center"/>
    </xf>
    <xf numFmtId="164" fontId="16" fillId="14" borderId="42" xfId="0" applyNumberFormat="1" applyFont="1" applyFill="1" applyBorder="1" applyAlignment="1">
      <alignment horizontal="center" vertical="center" wrapText="1"/>
    </xf>
    <xf numFmtId="164" fontId="16" fillId="0" borderId="42" xfId="0" applyNumberFormat="1" applyFont="1" applyBorder="1" applyAlignment="1">
      <alignment horizontal="center" vertical="center"/>
    </xf>
    <xf numFmtId="164" fontId="17" fillId="0" borderId="42" xfId="0" applyNumberFormat="1" applyFont="1" applyBorder="1" applyAlignment="1">
      <alignment horizontal="center" vertical="center" wrapText="1"/>
    </xf>
    <xf numFmtId="164" fontId="16" fillId="15" borderId="42" xfId="0" applyNumberFormat="1" applyFont="1" applyFill="1" applyBorder="1" applyAlignment="1">
      <alignment horizontal="center" vertical="center" wrapText="1"/>
    </xf>
    <xf numFmtId="0" fontId="16" fillId="15" borderId="42" xfId="0" applyFont="1" applyFill="1" applyBorder="1" applyAlignment="1">
      <alignment horizontal="center" vertical="center" wrapText="1"/>
    </xf>
    <xf numFmtId="164" fontId="6" fillId="6" borderId="40" xfId="1" applyNumberFormat="1" applyFon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4" fontId="6" fillId="3" borderId="6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164" fontId="6" fillId="2" borderId="6" xfId="1" applyNumberFormat="1" applyFont="1" applyFill="1" applyBorder="1" applyAlignment="1">
      <alignment horizontal="center" vertical="center"/>
    </xf>
    <xf numFmtId="164" fontId="6" fillId="2" borderId="6" xfId="1" applyNumberFormat="1" applyFont="1" applyFill="1" applyBorder="1" applyAlignment="1">
      <alignment horizontal="center" vertical="center" wrapText="1"/>
    </xf>
    <xf numFmtId="164" fontId="6" fillId="0" borderId="6" xfId="1" applyNumberFormat="1" applyFont="1" applyBorder="1" applyAlignment="1">
      <alignment horizontal="center" vertical="center"/>
    </xf>
    <xf numFmtId="164" fontId="6" fillId="6" borderId="6" xfId="1" applyNumberFormat="1" applyFont="1" applyFill="1" applyBorder="1" applyAlignment="1">
      <alignment horizontal="center" vertical="center"/>
    </xf>
    <xf numFmtId="164" fontId="6" fillId="5" borderId="6" xfId="1" applyNumberFormat="1" applyFont="1" applyFill="1" applyBorder="1" applyAlignment="1">
      <alignment horizontal="center" vertical="center"/>
    </xf>
    <xf numFmtId="164" fontId="1" fillId="2" borderId="6" xfId="1" applyNumberFormat="1" applyFont="1" applyFill="1" applyBorder="1" applyAlignment="1">
      <alignment horizontal="center" vertical="center" wrapText="1"/>
    </xf>
    <xf numFmtId="164" fontId="8" fillId="2" borderId="6" xfId="1" applyNumberFormat="1" applyFont="1" applyFill="1" applyBorder="1" applyAlignment="1">
      <alignment horizontal="center" vertical="center"/>
    </xf>
    <xf numFmtId="164" fontId="6" fillId="3" borderId="11" xfId="1" applyNumberFormat="1" applyFont="1" applyFill="1" applyBorder="1" applyAlignment="1">
      <alignment horizontal="center" vertical="center"/>
    </xf>
    <xf numFmtId="164" fontId="6" fillId="2" borderId="11" xfId="1" applyNumberFormat="1" applyFont="1" applyFill="1" applyBorder="1" applyAlignment="1">
      <alignment horizontal="center" vertical="center"/>
    </xf>
    <xf numFmtId="164" fontId="16" fillId="1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17" fontId="0" fillId="2" borderId="19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6" fillId="2" borderId="5" xfId="1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164" fontId="6" fillId="3" borderId="5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0" fontId="16" fillId="4" borderId="41" xfId="0" applyFont="1" applyFill="1" applyBorder="1" applyAlignment="1">
      <alignment horizontal="center" vertical="center"/>
    </xf>
    <xf numFmtId="164" fontId="16" fillId="4" borderId="41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166" fontId="16" fillId="4" borderId="41" xfId="0" applyNumberFormat="1" applyFont="1" applyFill="1" applyBorder="1" applyAlignment="1">
      <alignment horizontal="center" vertical="center"/>
    </xf>
    <xf numFmtId="0" fontId="16" fillId="4" borderId="41" xfId="0" applyFont="1" applyFill="1" applyBorder="1" applyAlignment="1">
      <alignment horizontal="center" vertical="center" wrapText="1"/>
    </xf>
    <xf numFmtId="164" fontId="16" fillId="4" borderId="4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8" fillId="14" borderId="41" xfId="0" applyFont="1" applyFill="1" applyBorder="1" applyAlignment="1">
      <alignment horizontal="center" vertical="center" wrapText="1"/>
    </xf>
    <xf numFmtId="164" fontId="16" fillId="3" borderId="1" xfId="0" applyNumberFormat="1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 wrapText="1"/>
    </xf>
    <xf numFmtId="164" fontId="16" fillId="14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16" fillId="4" borderId="0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16" fillId="4" borderId="0" xfId="0" applyNumberFormat="1" applyFont="1" applyFill="1" applyBorder="1" applyAlignment="1">
      <alignment horizontal="center" vertical="center"/>
    </xf>
    <xf numFmtId="164" fontId="16" fillId="14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16" fillId="4" borderId="42" xfId="0" applyNumberFormat="1" applyFont="1" applyFill="1" applyBorder="1" applyAlignment="1">
      <alignment horizontal="center" vertical="center" wrapText="1"/>
    </xf>
    <xf numFmtId="164" fontId="6" fillId="4" borderId="2" xfId="1" applyNumberFormat="1" applyFont="1" applyFill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1" fontId="8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2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18" xfId="0" applyNumberFormat="1" applyFont="1" applyFill="1" applyBorder="1" applyAlignment="1">
      <alignment horizontal="center" vertical="center"/>
    </xf>
    <xf numFmtId="1" fontId="12" fillId="2" borderId="19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64" fontId="6" fillId="3" borderId="0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64" fontId="6" fillId="0" borderId="1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164" fontId="16" fillId="0" borderId="1" xfId="0" applyNumberFormat="1" applyFont="1" applyFill="1" applyBorder="1" applyAlignment="1">
      <alignment horizontal="center" vertical="center"/>
    </xf>
    <xf numFmtId="164" fontId="6" fillId="0" borderId="6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7" fontId="0" fillId="2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164" fontId="16" fillId="14" borderId="44" xfId="0" applyNumberFormat="1" applyFont="1" applyFill="1" applyBorder="1" applyAlignment="1">
      <alignment horizontal="center" vertical="center"/>
    </xf>
    <xf numFmtId="164" fontId="16" fillId="14" borderId="43" xfId="0" applyNumberFormat="1" applyFont="1" applyFill="1" applyBorder="1" applyAlignment="1">
      <alignment horizontal="center" vertical="center"/>
    </xf>
    <xf numFmtId="164" fontId="16" fillId="4" borderId="45" xfId="0" applyNumberFormat="1" applyFont="1" applyFill="1" applyBorder="1" applyAlignment="1">
      <alignment horizontal="center" vertical="center"/>
    </xf>
    <xf numFmtId="164" fontId="16" fillId="4" borderId="46" xfId="0" applyNumberFormat="1" applyFont="1" applyFill="1" applyBorder="1" applyAlignment="1">
      <alignment horizontal="center" vertical="center"/>
    </xf>
    <xf numFmtId="164" fontId="16" fillId="14" borderId="47" xfId="0" applyNumberFormat="1" applyFont="1" applyFill="1" applyBorder="1" applyAlignment="1">
      <alignment horizontal="center" vertical="center"/>
    </xf>
    <xf numFmtId="164" fontId="16" fillId="14" borderId="48" xfId="0" applyNumberFormat="1" applyFont="1" applyFill="1" applyBorder="1" applyAlignment="1">
      <alignment horizontal="center" vertical="center"/>
    </xf>
    <xf numFmtId="164" fontId="16" fillId="4" borderId="49" xfId="0" applyNumberFormat="1" applyFont="1" applyFill="1" applyBorder="1" applyAlignment="1">
      <alignment horizontal="center" vertical="center"/>
    </xf>
    <xf numFmtId="164" fontId="16" fillId="4" borderId="50" xfId="0" applyNumberFormat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E14AC"/>
      <color rgb="FFB914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4"/>
  <sheetViews>
    <sheetView tabSelected="1" zoomScaleNormal="100" zoomScaleSheetLayoutView="35" workbookViewId="0">
      <pane ySplit="4" topLeftCell="A191" activePane="bottomLeft" state="frozen"/>
      <selection activeCell="P1" sqref="P1"/>
      <selection pane="bottomLeft" activeCell="D198" sqref="D198"/>
    </sheetView>
  </sheetViews>
  <sheetFormatPr defaultColWidth="9.140625" defaultRowHeight="15" x14ac:dyDescent="0.25"/>
  <cols>
    <col min="1" max="1" width="9.5703125" style="66" customWidth="1"/>
    <col min="2" max="2" width="7.7109375" style="3" customWidth="1"/>
    <col min="3" max="4" width="16.140625" style="3" customWidth="1"/>
    <col min="5" max="5" width="18" style="3" customWidth="1"/>
    <col min="6" max="6" width="21.85546875" style="3" customWidth="1"/>
    <col min="7" max="7" width="5.5703125" style="3" customWidth="1"/>
    <col min="8" max="8" width="31.42578125" style="23" customWidth="1"/>
    <col min="9" max="9" width="20.140625" style="3" customWidth="1"/>
    <col min="10" max="10" width="21.28515625" style="3" customWidth="1"/>
    <col min="11" max="11" width="17.7109375" style="3" customWidth="1"/>
    <col min="12" max="12" width="27.42578125" style="3" customWidth="1"/>
    <col min="13" max="13" width="7.7109375" style="3" customWidth="1"/>
    <col min="14" max="14" width="26.85546875" style="3" customWidth="1"/>
    <col min="15" max="15" width="9" style="3" customWidth="1"/>
    <col min="16" max="16" width="11.5703125" style="3" customWidth="1"/>
    <col min="17" max="17" width="24.28515625" style="3" customWidth="1"/>
    <col min="18" max="18" width="9.42578125" style="3" customWidth="1"/>
    <col min="19" max="20" width="12.140625" style="3" customWidth="1"/>
    <col min="21" max="21" width="16.5703125" style="3" customWidth="1"/>
    <col min="22" max="22" width="13.28515625" style="3" customWidth="1"/>
    <col min="23" max="23" width="18.42578125" style="3" customWidth="1"/>
    <col min="24" max="24" width="16.7109375" style="3" customWidth="1"/>
    <col min="25" max="25" width="16.42578125" style="3" customWidth="1"/>
    <col min="26" max="28" width="14.7109375" style="3" customWidth="1"/>
    <col min="29" max="29" width="15.42578125" style="3" customWidth="1"/>
    <col min="30" max="30" width="12.42578125" style="3" customWidth="1"/>
    <col min="31" max="35" width="14.7109375" style="3" customWidth="1"/>
    <col min="36" max="36" width="17.42578125" style="3" customWidth="1"/>
    <col min="37" max="44" width="14.7109375" style="3" customWidth="1"/>
    <col min="45" max="45" width="13.7109375" style="3" bestFit="1" customWidth="1"/>
    <col min="46" max="46" width="9" style="3" customWidth="1"/>
    <col min="47" max="47" width="11.140625" style="3" customWidth="1"/>
    <col min="48" max="48" width="13.42578125" style="3" customWidth="1"/>
    <col min="49" max="16384" width="9.140625" style="3"/>
  </cols>
  <sheetData>
    <row r="1" spans="1:48" s="61" customFormat="1" ht="35.25" customHeight="1" thickBot="1" x14ac:dyDescent="0.3">
      <c r="A1" s="563" t="s">
        <v>225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5"/>
      <c r="R1" s="565"/>
      <c r="S1" s="565"/>
      <c r="T1" s="564"/>
      <c r="U1" s="564"/>
      <c r="V1" s="564"/>
      <c r="W1" s="564"/>
      <c r="X1" s="564"/>
      <c r="Y1" s="564"/>
      <c r="Z1" s="564"/>
      <c r="AA1" s="564"/>
      <c r="AB1" s="564"/>
      <c r="AC1" s="564"/>
      <c r="AD1" s="564"/>
      <c r="AE1" s="564"/>
      <c r="AF1" s="564"/>
      <c r="AG1" s="564"/>
      <c r="AH1" s="564"/>
      <c r="AI1" s="564"/>
      <c r="AJ1" s="564"/>
      <c r="AK1" s="564"/>
      <c r="AL1" s="564"/>
      <c r="AM1" s="564"/>
      <c r="AN1" s="564"/>
      <c r="AO1" s="564"/>
      <c r="AP1" s="564"/>
      <c r="AQ1" s="564"/>
      <c r="AR1" s="564"/>
      <c r="AS1" s="564"/>
      <c r="AT1" s="564"/>
      <c r="AU1" s="564"/>
      <c r="AV1" s="566"/>
    </row>
    <row r="2" spans="1:48" s="61" customFormat="1" ht="27.95" customHeight="1" x14ac:dyDescent="0.25">
      <c r="A2" s="573" t="s">
        <v>0</v>
      </c>
      <c r="B2" s="539" t="s">
        <v>3</v>
      </c>
      <c r="C2" s="517" t="s">
        <v>2</v>
      </c>
      <c r="D2" s="503"/>
      <c r="E2" s="531"/>
      <c r="F2" s="531"/>
      <c r="G2" s="532"/>
      <c r="H2" s="517" t="s">
        <v>317</v>
      </c>
      <c r="I2" s="517"/>
      <c r="J2" s="517"/>
      <c r="K2" s="539" t="s">
        <v>269</v>
      </c>
      <c r="L2" s="539" t="s">
        <v>327</v>
      </c>
      <c r="M2" s="539"/>
      <c r="N2" s="539" t="s">
        <v>329</v>
      </c>
      <c r="O2" s="539"/>
      <c r="P2" s="539"/>
      <c r="Q2" s="540" t="s">
        <v>330</v>
      </c>
      <c r="R2" s="540"/>
      <c r="S2" s="540"/>
      <c r="T2" s="542" t="s">
        <v>1236</v>
      </c>
      <c r="U2" s="527" t="s">
        <v>1282</v>
      </c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28"/>
      <c r="AG2" s="203"/>
      <c r="AH2" s="203"/>
      <c r="AI2" s="527" t="s">
        <v>937</v>
      </c>
      <c r="AJ2" s="517"/>
      <c r="AK2" s="528"/>
      <c r="AL2" s="527" t="s">
        <v>936</v>
      </c>
      <c r="AM2" s="517"/>
      <c r="AN2" s="517"/>
      <c r="AO2" s="517"/>
      <c r="AP2" s="517"/>
      <c r="AQ2" s="517"/>
      <c r="AR2" s="528"/>
      <c r="AS2" s="567" t="s">
        <v>934</v>
      </c>
      <c r="AT2" s="568"/>
      <c r="AU2" s="568"/>
      <c r="AV2" s="569"/>
    </row>
    <row r="3" spans="1:48" s="61" customFormat="1" ht="33.75" customHeight="1" x14ac:dyDescent="0.25">
      <c r="A3" s="574"/>
      <c r="B3" s="540"/>
      <c r="C3" s="518"/>
      <c r="D3" s="504"/>
      <c r="E3" s="533"/>
      <c r="F3" s="533"/>
      <c r="G3" s="534"/>
      <c r="H3" s="518"/>
      <c r="I3" s="518"/>
      <c r="J3" s="518"/>
      <c r="K3" s="540"/>
      <c r="L3" s="540"/>
      <c r="M3" s="540"/>
      <c r="N3" s="540"/>
      <c r="O3" s="540"/>
      <c r="P3" s="540"/>
      <c r="Q3" s="540"/>
      <c r="R3" s="540"/>
      <c r="S3" s="540"/>
      <c r="T3" s="543"/>
      <c r="U3" s="529" t="s">
        <v>929</v>
      </c>
      <c r="V3" s="518"/>
      <c r="W3" s="518" t="s">
        <v>932</v>
      </c>
      <c r="X3" s="518"/>
      <c r="Y3" s="518"/>
      <c r="Z3" s="571" t="s">
        <v>933</v>
      </c>
      <c r="AA3" s="518" t="s">
        <v>930</v>
      </c>
      <c r="AB3" s="518"/>
      <c r="AC3" s="518"/>
      <c r="AD3" s="518" t="s">
        <v>931</v>
      </c>
      <c r="AE3" s="518"/>
      <c r="AF3" s="530"/>
      <c r="AG3" s="537" t="s">
        <v>1075</v>
      </c>
      <c r="AH3" s="538"/>
      <c r="AI3" s="529"/>
      <c r="AJ3" s="518"/>
      <c r="AK3" s="530"/>
      <c r="AL3" s="529" t="s">
        <v>935</v>
      </c>
      <c r="AM3" s="518"/>
      <c r="AN3" s="518"/>
      <c r="AO3" s="518" t="s">
        <v>953</v>
      </c>
      <c r="AP3" s="518"/>
      <c r="AQ3" s="535" t="s">
        <v>982</v>
      </c>
      <c r="AR3" s="536"/>
      <c r="AS3" s="512"/>
      <c r="AT3" s="522"/>
      <c r="AU3" s="522"/>
      <c r="AV3" s="570"/>
    </row>
    <row r="4" spans="1:48" s="61" customFormat="1" ht="60.75" thickBot="1" x14ac:dyDescent="0.3">
      <c r="A4" s="575"/>
      <c r="B4" s="541"/>
      <c r="C4" s="519"/>
      <c r="D4" s="499" t="s">
        <v>1557</v>
      </c>
      <c r="E4" s="107" t="s">
        <v>339</v>
      </c>
      <c r="F4" s="105" t="s">
        <v>441</v>
      </c>
      <c r="G4" s="105" t="s">
        <v>259</v>
      </c>
      <c r="H4" s="105" t="s">
        <v>1</v>
      </c>
      <c r="I4" s="107" t="s">
        <v>122</v>
      </c>
      <c r="J4" s="107" t="s">
        <v>121</v>
      </c>
      <c r="K4" s="541"/>
      <c r="L4" s="107" t="s">
        <v>328</v>
      </c>
      <c r="M4" s="105" t="s">
        <v>259</v>
      </c>
      <c r="N4" s="105" t="s">
        <v>289</v>
      </c>
      <c r="O4" s="105" t="s">
        <v>259</v>
      </c>
      <c r="P4" s="105" t="s">
        <v>260</v>
      </c>
      <c r="Q4" s="105" t="s">
        <v>289</v>
      </c>
      <c r="R4" s="105" t="s">
        <v>259</v>
      </c>
      <c r="S4" s="125" t="s">
        <v>260</v>
      </c>
      <c r="T4" s="300"/>
      <c r="U4" s="133" t="s">
        <v>926</v>
      </c>
      <c r="V4" s="301" t="s">
        <v>927</v>
      </c>
      <c r="W4" s="301" t="s">
        <v>633</v>
      </c>
      <c r="X4" s="301" t="s">
        <v>636</v>
      </c>
      <c r="Y4" s="301" t="s">
        <v>1283</v>
      </c>
      <c r="Z4" s="572"/>
      <c r="AA4" s="301" t="s">
        <v>924</v>
      </c>
      <c r="AB4" s="301" t="s">
        <v>925</v>
      </c>
      <c r="AC4" s="301" t="s">
        <v>923</v>
      </c>
      <c r="AD4" s="301" t="s">
        <v>920</v>
      </c>
      <c r="AE4" s="301" t="s">
        <v>921</v>
      </c>
      <c r="AF4" s="106" t="s">
        <v>922</v>
      </c>
      <c r="AG4" s="204" t="s">
        <v>1076</v>
      </c>
      <c r="AH4" s="204" t="s">
        <v>1077</v>
      </c>
      <c r="AI4" s="104" t="s">
        <v>938</v>
      </c>
      <c r="AJ4" s="105" t="s">
        <v>939</v>
      </c>
      <c r="AK4" s="106" t="s">
        <v>956</v>
      </c>
      <c r="AL4" s="104" t="s">
        <v>940</v>
      </c>
      <c r="AM4" s="105" t="s">
        <v>941</v>
      </c>
      <c r="AN4" s="105" t="s">
        <v>942</v>
      </c>
      <c r="AO4" s="105" t="s">
        <v>949</v>
      </c>
      <c r="AP4" s="186" t="s">
        <v>1014</v>
      </c>
      <c r="AQ4" s="105" t="s">
        <v>1015</v>
      </c>
      <c r="AR4" s="106" t="s">
        <v>946</v>
      </c>
      <c r="AS4" s="133" t="s">
        <v>570</v>
      </c>
      <c r="AT4" s="105" t="s">
        <v>635</v>
      </c>
      <c r="AU4" s="105" t="s">
        <v>844</v>
      </c>
      <c r="AV4" s="106" t="s">
        <v>843</v>
      </c>
    </row>
    <row r="5" spans="1:48" s="66" customFormat="1" ht="31.5" x14ac:dyDescent="0.25">
      <c r="A5" s="122">
        <v>1</v>
      </c>
      <c r="B5" s="122">
        <v>109</v>
      </c>
      <c r="C5" s="122" t="s">
        <v>333</v>
      </c>
      <c r="D5" s="506" t="s">
        <v>1084</v>
      </c>
      <c r="E5" s="122" t="s">
        <v>346</v>
      </c>
      <c r="F5" s="273" t="s">
        <v>655</v>
      </c>
      <c r="G5" s="122">
        <v>1</v>
      </c>
      <c r="H5" s="130" t="s">
        <v>1242</v>
      </c>
      <c r="I5" s="122" t="s">
        <v>338</v>
      </c>
      <c r="J5" s="122" t="s">
        <v>334</v>
      </c>
      <c r="K5" s="112">
        <v>15559</v>
      </c>
      <c r="L5" s="122" t="s">
        <v>335</v>
      </c>
      <c r="M5" s="122">
        <v>16</v>
      </c>
      <c r="N5" s="335" t="s">
        <v>1227</v>
      </c>
      <c r="O5" s="308">
        <v>6</v>
      </c>
      <c r="P5" s="336">
        <v>6882</v>
      </c>
      <c r="Q5" s="331" t="s">
        <v>1200</v>
      </c>
      <c r="R5" s="331">
        <v>10</v>
      </c>
      <c r="S5" s="341">
        <f>K5-P5</f>
        <v>8677</v>
      </c>
      <c r="T5" s="360">
        <f t="shared" ref="T5:T29" si="0">P5+S5</f>
        <v>15559</v>
      </c>
      <c r="U5" s="350"/>
      <c r="V5" s="112"/>
      <c r="W5" s="131"/>
      <c r="X5" s="130"/>
      <c r="Y5" s="130">
        <v>5</v>
      </c>
      <c r="Z5" s="130"/>
      <c r="AA5" s="130"/>
      <c r="AB5" s="130"/>
      <c r="AC5" s="130" t="s">
        <v>1367</v>
      </c>
      <c r="AD5" s="130"/>
      <c r="AE5" s="329" t="s">
        <v>1368</v>
      </c>
      <c r="AF5" s="330" t="s">
        <v>1369</v>
      </c>
      <c r="AG5" s="205"/>
      <c r="AH5" s="205"/>
      <c r="AI5" s="134" t="s">
        <v>948</v>
      </c>
      <c r="AJ5" s="76" t="s">
        <v>971</v>
      </c>
      <c r="AK5" s="135"/>
      <c r="AL5" s="134" t="s">
        <v>1024</v>
      </c>
      <c r="AM5" s="76" t="s">
        <v>958</v>
      </c>
      <c r="AN5" s="76" t="s">
        <v>958</v>
      </c>
      <c r="AO5" s="76" t="s">
        <v>970</v>
      </c>
      <c r="AP5" s="76" t="s">
        <v>948</v>
      </c>
      <c r="AQ5" s="76" t="s">
        <v>948</v>
      </c>
      <c r="AR5" s="135" t="s">
        <v>968</v>
      </c>
      <c r="AS5" s="175" t="s">
        <v>571</v>
      </c>
      <c r="AT5" s="176">
        <v>1</v>
      </c>
      <c r="AU5" s="177">
        <v>46266</v>
      </c>
      <c r="AV5" s="178"/>
    </row>
    <row r="6" spans="1:48" ht="31.5" x14ac:dyDescent="0.25">
      <c r="A6" s="377">
        <v>2</v>
      </c>
      <c r="B6" s="119">
        <v>121</v>
      </c>
      <c r="C6" s="119" t="s">
        <v>5</v>
      </c>
      <c r="D6" s="502" t="s">
        <v>1554</v>
      </c>
      <c r="E6" s="119" t="s">
        <v>345</v>
      </c>
      <c r="F6" s="274" t="s">
        <v>609</v>
      </c>
      <c r="G6" s="119">
        <v>1</v>
      </c>
      <c r="H6" s="117" t="s">
        <v>319</v>
      </c>
      <c r="I6" s="119" t="s">
        <v>291</v>
      </c>
      <c r="J6" s="119" t="s">
        <v>125</v>
      </c>
      <c r="K6" s="9">
        <v>24263</v>
      </c>
      <c r="L6" s="119" t="s">
        <v>569</v>
      </c>
      <c r="M6" s="119">
        <v>27</v>
      </c>
      <c r="N6" s="304" t="s">
        <v>1323</v>
      </c>
      <c r="O6" s="304">
        <v>25</v>
      </c>
      <c r="P6" s="393">
        <v>22747</v>
      </c>
      <c r="Q6" s="302" t="s">
        <v>1324</v>
      </c>
      <c r="R6" s="304">
        <f>M6-O6</f>
        <v>2</v>
      </c>
      <c r="S6" s="294">
        <f>K6-P6</f>
        <v>1516</v>
      </c>
      <c r="T6" s="360">
        <f t="shared" si="0"/>
        <v>24263</v>
      </c>
      <c r="U6" s="351"/>
      <c r="V6" s="9"/>
      <c r="W6" s="38"/>
      <c r="X6" s="121">
        <v>23</v>
      </c>
      <c r="Y6" s="121"/>
      <c r="Z6" s="121"/>
      <c r="AA6" s="121"/>
      <c r="AB6" s="55"/>
      <c r="AC6" s="55" t="s">
        <v>1325</v>
      </c>
      <c r="AD6" s="55"/>
      <c r="AE6" s="72" t="s">
        <v>1359</v>
      </c>
      <c r="AF6" s="49" t="s">
        <v>1326</v>
      </c>
      <c r="AG6" s="49"/>
      <c r="AH6" s="206"/>
      <c r="AI6" s="202" t="s">
        <v>1018</v>
      </c>
      <c r="AJ6" s="49" t="s">
        <v>954</v>
      </c>
      <c r="AK6" s="137"/>
      <c r="AL6" s="136" t="s">
        <v>1033</v>
      </c>
      <c r="AM6" s="49" t="s">
        <v>958</v>
      </c>
      <c r="AN6" s="49" t="s">
        <v>958</v>
      </c>
      <c r="AO6" s="49" t="s">
        <v>958</v>
      </c>
      <c r="AP6" s="49" t="s">
        <v>958</v>
      </c>
      <c r="AQ6" s="49" t="s">
        <v>958</v>
      </c>
      <c r="AR6" s="137" t="s">
        <v>958</v>
      </c>
      <c r="AS6" s="144" t="s">
        <v>571</v>
      </c>
      <c r="AT6" s="162">
        <v>1</v>
      </c>
      <c r="AU6" s="82">
        <v>46174</v>
      </c>
      <c r="AV6" s="143"/>
    </row>
    <row r="7" spans="1:48" ht="174" customHeight="1" x14ac:dyDescent="0.25">
      <c r="A7" s="377">
        <v>3</v>
      </c>
      <c r="B7" s="119">
        <v>151</v>
      </c>
      <c r="C7" s="119" t="s">
        <v>9</v>
      </c>
      <c r="D7" s="502" t="s">
        <v>1554</v>
      </c>
      <c r="E7" s="500" t="s">
        <v>1555</v>
      </c>
      <c r="F7" s="271" t="s">
        <v>1490</v>
      </c>
      <c r="G7" s="117">
        <v>5</v>
      </c>
      <c r="H7" s="117" t="s">
        <v>71</v>
      </c>
      <c r="I7" s="119">
        <v>2320300</v>
      </c>
      <c r="J7" s="119" t="s">
        <v>132</v>
      </c>
      <c r="K7" s="9">
        <v>87079</v>
      </c>
      <c r="L7" s="119" t="s">
        <v>274</v>
      </c>
      <c r="M7" s="119">
        <v>15</v>
      </c>
      <c r="N7" s="310" t="s">
        <v>1288</v>
      </c>
      <c r="O7" s="304">
        <v>8</v>
      </c>
      <c r="P7" s="313">
        <v>53047.82</v>
      </c>
      <c r="Q7" s="310" t="s">
        <v>1289</v>
      </c>
      <c r="R7" s="310">
        <v>8</v>
      </c>
      <c r="S7" s="342">
        <v>34031</v>
      </c>
      <c r="T7" s="360">
        <f t="shared" si="0"/>
        <v>87078.82</v>
      </c>
      <c r="U7" s="351"/>
      <c r="V7" s="10"/>
      <c r="W7" s="117"/>
      <c r="X7" s="249" t="s">
        <v>1281</v>
      </c>
      <c r="Y7" s="258" t="s">
        <v>1284</v>
      </c>
      <c r="Z7" s="119"/>
      <c r="AA7" s="166" t="s">
        <v>1285</v>
      </c>
      <c r="AB7" s="117"/>
      <c r="AC7" s="117"/>
      <c r="AD7" s="117"/>
      <c r="AE7" s="86" t="s">
        <v>1286</v>
      </c>
      <c r="AF7" s="324" t="s">
        <v>1287</v>
      </c>
      <c r="AG7" s="207"/>
      <c r="AH7" s="207"/>
      <c r="AI7" s="138" t="s">
        <v>943</v>
      </c>
      <c r="AJ7" s="4" t="s">
        <v>944</v>
      </c>
      <c r="AK7" s="139" t="s">
        <v>957</v>
      </c>
      <c r="AL7" s="140" t="s">
        <v>1006</v>
      </c>
      <c r="AM7" s="4" t="s">
        <v>948</v>
      </c>
      <c r="AN7" s="126"/>
      <c r="AO7" s="126" t="s">
        <v>951</v>
      </c>
      <c r="AP7" s="126">
        <v>5</v>
      </c>
      <c r="AQ7" s="126" t="s">
        <v>952</v>
      </c>
      <c r="AR7" s="141">
        <v>140738</v>
      </c>
      <c r="AS7" s="142" t="s">
        <v>571</v>
      </c>
      <c r="AT7" s="162">
        <v>1</v>
      </c>
      <c r="AU7" s="82">
        <v>46296</v>
      </c>
      <c r="AV7" s="143" t="s">
        <v>947</v>
      </c>
    </row>
    <row r="8" spans="1:48" ht="48" customHeight="1" x14ac:dyDescent="0.25">
      <c r="A8" s="377">
        <v>4</v>
      </c>
      <c r="B8" s="119">
        <v>162</v>
      </c>
      <c r="C8" s="119" t="s">
        <v>15</v>
      </c>
      <c r="D8" s="506" t="s">
        <v>1084</v>
      </c>
      <c r="E8" s="189" t="s">
        <v>1090</v>
      </c>
      <c r="F8" s="269" t="s">
        <v>1186</v>
      </c>
      <c r="G8" s="117">
        <v>2</v>
      </c>
      <c r="H8" s="43" t="s">
        <v>606</v>
      </c>
      <c r="I8" s="65" t="s">
        <v>140</v>
      </c>
      <c r="J8" s="43" t="s">
        <v>141</v>
      </c>
      <c r="K8" s="11">
        <v>40909</v>
      </c>
      <c r="L8" s="43" t="s">
        <v>974</v>
      </c>
      <c r="M8" s="65">
        <v>43</v>
      </c>
      <c r="N8" s="311" t="s">
        <v>1201</v>
      </c>
      <c r="O8" s="65">
        <v>28</v>
      </c>
      <c r="P8" s="338">
        <v>28746.99</v>
      </c>
      <c r="Q8" s="311" t="s">
        <v>1202</v>
      </c>
      <c r="R8" s="311">
        <v>15</v>
      </c>
      <c r="S8" s="343">
        <v>12162.4</v>
      </c>
      <c r="T8" s="360">
        <f t="shared" si="0"/>
        <v>40909.39</v>
      </c>
      <c r="U8" s="348"/>
      <c r="V8" s="11"/>
      <c r="W8" s="65">
        <v>29</v>
      </c>
      <c r="X8" s="65" t="s">
        <v>1495</v>
      </c>
      <c r="Y8" s="65"/>
      <c r="Z8" s="65"/>
      <c r="AA8" s="65"/>
      <c r="AB8" s="65"/>
      <c r="AC8" s="117" t="s">
        <v>1493</v>
      </c>
      <c r="AD8" s="117">
        <v>25</v>
      </c>
      <c r="AE8" s="74" t="s">
        <v>1494</v>
      </c>
      <c r="AF8" s="323" t="s">
        <v>1496</v>
      </c>
      <c r="AG8" s="209" t="s">
        <v>962</v>
      </c>
      <c r="AH8" s="209" t="s">
        <v>1078</v>
      </c>
      <c r="AI8" s="144" t="s">
        <v>948</v>
      </c>
      <c r="AJ8" s="7" t="s">
        <v>962</v>
      </c>
      <c r="AK8" s="145" t="s">
        <v>963</v>
      </c>
      <c r="AL8" s="136" t="s">
        <v>1037</v>
      </c>
      <c r="AM8" s="7" t="s">
        <v>958</v>
      </c>
      <c r="AN8" s="7" t="s">
        <v>945</v>
      </c>
      <c r="AO8" s="7" t="s">
        <v>945</v>
      </c>
      <c r="AP8" s="7" t="s">
        <v>945</v>
      </c>
      <c r="AQ8" s="7" t="s">
        <v>945</v>
      </c>
      <c r="AR8" s="145" t="s">
        <v>945</v>
      </c>
      <c r="AS8" s="142" t="s">
        <v>571</v>
      </c>
      <c r="AT8" s="162">
        <v>1</v>
      </c>
      <c r="AU8" s="82">
        <v>46296</v>
      </c>
      <c r="AV8" s="143"/>
    </row>
    <row r="9" spans="1:48" ht="31.5" x14ac:dyDescent="0.25">
      <c r="A9" s="426">
        <v>5</v>
      </c>
      <c r="B9" s="119">
        <v>175</v>
      </c>
      <c r="C9" s="119" t="s">
        <v>20</v>
      </c>
      <c r="D9" s="506" t="s">
        <v>1084</v>
      </c>
      <c r="E9" s="201" t="s">
        <v>1090</v>
      </c>
      <c r="F9" s="271" t="s">
        <v>631</v>
      </c>
      <c r="G9" s="21">
        <v>1</v>
      </c>
      <c r="H9" s="234" t="s">
        <v>78</v>
      </c>
      <c r="I9" s="119" t="s">
        <v>149</v>
      </c>
      <c r="J9" s="119" t="s">
        <v>127</v>
      </c>
      <c r="K9" s="9">
        <v>89718</v>
      </c>
      <c r="L9" s="119" t="s">
        <v>1042</v>
      </c>
      <c r="M9" s="119">
        <v>45</v>
      </c>
      <c r="N9" s="312" t="s">
        <v>1203</v>
      </c>
      <c r="O9" s="304">
        <v>21</v>
      </c>
      <c r="P9" s="313">
        <v>46277.08</v>
      </c>
      <c r="Q9" s="312" t="s">
        <v>1204</v>
      </c>
      <c r="R9" s="312">
        <v>24</v>
      </c>
      <c r="S9" s="341">
        <v>31607.64</v>
      </c>
      <c r="T9" s="360">
        <f t="shared" si="0"/>
        <v>77884.72</v>
      </c>
      <c r="U9" s="352"/>
      <c r="V9" s="9"/>
      <c r="W9" s="117"/>
      <c r="X9" s="187" t="s">
        <v>1498</v>
      </c>
      <c r="Y9" s="119" t="s">
        <v>1497</v>
      </c>
      <c r="Z9" s="119"/>
      <c r="AA9" s="119"/>
      <c r="AB9" s="117" t="s">
        <v>1500</v>
      </c>
      <c r="AC9" s="187" t="s">
        <v>1499</v>
      </c>
      <c r="AD9" s="117">
        <v>22</v>
      </c>
      <c r="AE9" s="72" t="s">
        <v>1501</v>
      </c>
      <c r="AF9" s="323">
        <v>23</v>
      </c>
      <c r="AG9" s="206"/>
      <c r="AH9" s="206"/>
      <c r="AI9" s="136" t="s">
        <v>948</v>
      </c>
      <c r="AJ9" s="7" t="s">
        <v>962</v>
      </c>
      <c r="AK9" s="145" t="s">
        <v>963</v>
      </c>
      <c r="AL9" s="136" t="s">
        <v>1038</v>
      </c>
      <c r="AM9" s="7" t="s">
        <v>958</v>
      </c>
      <c r="AN9" s="7" t="s">
        <v>945</v>
      </c>
      <c r="AO9" s="7" t="s">
        <v>945</v>
      </c>
      <c r="AP9" s="7" t="s">
        <v>945</v>
      </c>
      <c r="AQ9" s="7" t="s">
        <v>945</v>
      </c>
      <c r="AR9" s="145" t="s">
        <v>945</v>
      </c>
      <c r="AS9" s="142" t="s">
        <v>571</v>
      </c>
      <c r="AT9" s="162">
        <v>1</v>
      </c>
      <c r="AU9" s="82">
        <v>46357</v>
      </c>
      <c r="AV9" s="143"/>
    </row>
    <row r="10" spans="1:48" ht="21.95" customHeight="1" x14ac:dyDescent="0.25">
      <c r="A10" s="426">
        <v>6</v>
      </c>
      <c r="B10" s="65">
        <v>178</v>
      </c>
      <c r="C10" s="65" t="s">
        <v>21</v>
      </c>
      <c r="D10" s="502" t="s">
        <v>1554</v>
      </c>
      <c r="E10" s="119" t="s">
        <v>345</v>
      </c>
      <c r="F10" s="102"/>
      <c r="G10" s="119"/>
      <c r="H10" s="43" t="s">
        <v>118</v>
      </c>
      <c r="I10" s="65">
        <v>6439821</v>
      </c>
      <c r="J10" s="65" t="s">
        <v>150</v>
      </c>
      <c r="K10" s="11">
        <v>3539</v>
      </c>
      <c r="L10" s="65" t="s">
        <v>278</v>
      </c>
      <c r="M10" s="65">
        <v>6</v>
      </c>
      <c r="N10" s="65" t="s">
        <v>480</v>
      </c>
      <c r="O10" s="65">
        <v>5</v>
      </c>
      <c r="P10" s="306">
        <v>2969</v>
      </c>
      <c r="Q10" s="65" t="s">
        <v>186</v>
      </c>
      <c r="R10" s="65">
        <f>M10-O10</f>
        <v>1</v>
      </c>
      <c r="S10" s="108">
        <v>570</v>
      </c>
      <c r="T10" s="360">
        <f t="shared" si="0"/>
        <v>3539</v>
      </c>
      <c r="U10" s="353"/>
      <c r="V10" s="11"/>
      <c r="W10" s="38"/>
      <c r="X10" s="45"/>
      <c r="Y10" s="404" t="s">
        <v>1360</v>
      </c>
      <c r="Z10" s="45"/>
      <c r="AA10" s="45"/>
      <c r="AB10" s="45"/>
      <c r="AC10" s="45"/>
      <c r="AD10" s="45"/>
      <c r="AE10" s="314"/>
      <c r="AF10" s="79" t="s">
        <v>629</v>
      </c>
      <c r="AG10" s="48"/>
      <c r="AH10" s="210"/>
      <c r="AI10" s="155" t="s">
        <v>948</v>
      </c>
      <c r="AJ10" s="48" t="s">
        <v>983</v>
      </c>
      <c r="AK10" s="156"/>
      <c r="AL10" s="136" t="s">
        <v>958</v>
      </c>
      <c r="AM10" s="49" t="s">
        <v>958</v>
      </c>
      <c r="AN10" s="49" t="s">
        <v>958</v>
      </c>
      <c r="AO10" s="49" t="s">
        <v>958</v>
      </c>
      <c r="AP10" s="49" t="s">
        <v>958</v>
      </c>
      <c r="AQ10" s="49" t="s">
        <v>958</v>
      </c>
      <c r="AR10" s="137" t="s">
        <v>958</v>
      </c>
      <c r="AS10" s="179" t="s">
        <v>571</v>
      </c>
      <c r="AT10" s="162">
        <v>1</v>
      </c>
      <c r="AU10" s="162"/>
      <c r="AV10" s="143"/>
    </row>
    <row r="11" spans="1:48" ht="31.5" x14ac:dyDescent="0.25">
      <c r="A11" s="426">
        <v>7</v>
      </c>
      <c r="B11" s="119">
        <v>190</v>
      </c>
      <c r="C11" s="119" t="s">
        <v>28</v>
      </c>
      <c r="D11" s="506" t="s">
        <v>1084</v>
      </c>
      <c r="E11" s="201" t="s">
        <v>1090</v>
      </c>
      <c r="F11" s="270" t="s">
        <v>1196</v>
      </c>
      <c r="G11" s="119">
        <v>2</v>
      </c>
      <c r="H11" s="117" t="s">
        <v>84</v>
      </c>
      <c r="I11" s="119">
        <v>6488665</v>
      </c>
      <c r="J11" s="117" t="s">
        <v>161</v>
      </c>
      <c r="K11" s="9">
        <v>44862</v>
      </c>
      <c r="L11" s="119" t="s">
        <v>849</v>
      </c>
      <c r="M11" s="119">
        <v>20</v>
      </c>
      <c r="N11" s="310" t="s">
        <v>1211</v>
      </c>
      <c r="O11" s="304">
        <v>7</v>
      </c>
      <c r="P11" s="313">
        <v>23389.58</v>
      </c>
      <c r="Q11" s="312" t="s">
        <v>1205</v>
      </c>
      <c r="R11" s="312">
        <v>13</v>
      </c>
      <c r="S11" s="341">
        <v>27404.2</v>
      </c>
      <c r="T11" s="360">
        <f t="shared" si="0"/>
        <v>50793.78</v>
      </c>
      <c r="U11" s="351"/>
      <c r="V11" s="9"/>
      <c r="W11" s="46" t="s">
        <v>1502</v>
      </c>
      <c r="X11" s="19"/>
      <c r="Y11" s="19"/>
      <c r="Z11" s="19"/>
      <c r="AA11" s="19"/>
      <c r="AB11" s="19"/>
      <c r="AC11" s="46"/>
      <c r="AD11" s="46"/>
      <c r="AE11" s="87" t="s">
        <v>1503</v>
      </c>
      <c r="AF11" s="326" t="s">
        <v>1504</v>
      </c>
      <c r="AG11" s="211"/>
      <c r="AH11" s="211"/>
      <c r="AI11" s="146" t="s">
        <v>948</v>
      </c>
      <c r="AJ11" s="46" t="s">
        <v>967</v>
      </c>
      <c r="AK11" s="157" t="s">
        <v>963</v>
      </c>
      <c r="AL11" s="146" t="s">
        <v>964</v>
      </c>
      <c r="AM11" s="7" t="s">
        <v>959</v>
      </c>
      <c r="AN11" s="7" t="s">
        <v>965</v>
      </c>
      <c r="AO11" s="7" t="s">
        <v>966</v>
      </c>
      <c r="AP11" s="7" t="s">
        <v>964</v>
      </c>
      <c r="AQ11" s="7" t="s">
        <v>964</v>
      </c>
      <c r="AR11" s="145">
        <v>63739</v>
      </c>
      <c r="AS11" s="144" t="s">
        <v>571</v>
      </c>
      <c r="AT11" s="162">
        <v>1</v>
      </c>
      <c r="AU11" s="82">
        <v>46296</v>
      </c>
      <c r="AV11" s="143"/>
    </row>
    <row r="12" spans="1:48" s="61" customFormat="1" ht="47.25" x14ac:dyDescent="0.25">
      <c r="A12" s="547">
        <v>8</v>
      </c>
      <c r="B12" s="547">
        <v>219</v>
      </c>
      <c r="C12" s="117" t="s">
        <v>980</v>
      </c>
      <c r="D12" s="506" t="s">
        <v>1084</v>
      </c>
      <c r="E12" s="117" t="s">
        <v>346</v>
      </c>
      <c r="F12" s="271" t="s">
        <v>656</v>
      </c>
      <c r="G12" s="46">
        <v>2</v>
      </c>
      <c r="H12" s="545" t="s">
        <v>1199</v>
      </c>
      <c r="I12" s="545" t="s">
        <v>322</v>
      </c>
      <c r="J12" s="545" t="s">
        <v>197</v>
      </c>
      <c r="K12" s="554">
        <v>181191.1</v>
      </c>
      <c r="L12" s="310" t="s">
        <v>1212</v>
      </c>
      <c r="M12" s="312">
        <v>16</v>
      </c>
      <c r="N12" s="310" t="s">
        <v>1213</v>
      </c>
      <c r="O12" s="312">
        <v>10</v>
      </c>
      <c r="P12" s="555">
        <v>82540</v>
      </c>
      <c r="Q12" s="310" t="s">
        <v>1215</v>
      </c>
      <c r="R12" s="312">
        <v>6</v>
      </c>
      <c r="S12" s="559">
        <v>20899</v>
      </c>
      <c r="T12" s="360">
        <f t="shared" si="0"/>
        <v>103439</v>
      </c>
      <c r="U12" s="351"/>
      <c r="V12" s="9"/>
      <c r="W12" s="117"/>
      <c r="X12" s="166"/>
      <c r="Y12" s="117" t="s">
        <v>1140</v>
      </c>
      <c r="Z12" s="117"/>
      <c r="AA12" s="117"/>
      <c r="AB12" s="117" t="s">
        <v>1124</v>
      </c>
      <c r="AC12" s="117" t="s">
        <v>981</v>
      </c>
      <c r="AD12" s="117"/>
      <c r="AE12" s="72" t="s">
        <v>1412</v>
      </c>
      <c r="AF12" s="323" t="s">
        <v>1413</v>
      </c>
      <c r="AG12" s="548" t="s">
        <v>1081</v>
      </c>
      <c r="AH12" s="549"/>
      <c r="AI12" s="138" t="s">
        <v>1018</v>
      </c>
      <c r="AJ12" s="49" t="s">
        <v>983</v>
      </c>
      <c r="AK12" s="137"/>
      <c r="AL12" s="136" t="s">
        <v>958</v>
      </c>
      <c r="AM12" s="49" t="s">
        <v>958</v>
      </c>
      <c r="AN12" s="49" t="s">
        <v>958</v>
      </c>
      <c r="AO12" s="49" t="s">
        <v>958</v>
      </c>
      <c r="AP12" s="49" t="s">
        <v>958</v>
      </c>
      <c r="AQ12" s="49" t="s">
        <v>958</v>
      </c>
      <c r="AR12" s="137" t="s">
        <v>958</v>
      </c>
      <c r="AS12" s="142" t="s">
        <v>571</v>
      </c>
      <c r="AT12" s="162">
        <v>1</v>
      </c>
      <c r="AU12" s="544">
        <v>46113</v>
      </c>
      <c r="AV12" s="170"/>
    </row>
    <row r="13" spans="1:48" s="61" customFormat="1" ht="60" x14ac:dyDescent="0.25">
      <c r="A13" s="547"/>
      <c r="B13" s="547"/>
      <c r="C13" s="117" t="s">
        <v>977</v>
      </c>
      <c r="D13" s="506" t="s">
        <v>1084</v>
      </c>
      <c r="E13" s="117" t="s">
        <v>346</v>
      </c>
      <c r="F13" s="281" t="s">
        <v>1191</v>
      </c>
      <c r="G13" s="46">
        <v>4</v>
      </c>
      <c r="H13" s="545"/>
      <c r="I13" s="545"/>
      <c r="J13" s="545"/>
      <c r="K13" s="554"/>
      <c r="L13" s="310" t="s">
        <v>1212</v>
      </c>
      <c r="M13" s="312">
        <v>16</v>
      </c>
      <c r="N13" s="310" t="s">
        <v>1214</v>
      </c>
      <c r="O13" s="312">
        <v>10</v>
      </c>
      <c r="P13" s="556"/>
      <c r="Q13" s="312" t="s">
        <v>1216</v>
      </c>
      <c r="R13" s="312">
        <v>6</v>
      </c>
      <c r="S13" s="560"/>
      <c r="T13" s="360">
        <f t="shared" si="0"/>
        <v>0</v>
      </c>
      <c r="U13" s="351"/>
      <c r="V13" s="9"/>
      <c r="W13" s="113"/>
      <c r="X13" s="164" t="s">
        <v>1138</v>
      </c>
      <c r="Y13" s="113"/>
      <c r="Z13" s="64"/>
      <c r="AA13" s="55"/>
      <c r="AB13" s="55"/>
      <c r="AC13" s="55" t="s">
        <v>1139</v>
      </c>
      <c r="AD13" s="55"/>
      <c r="AE13" s="72" t="s">
        <v>1410</v>
      </c>
      <c r="AF13" s="323" t="s">
        <v>1411</v>
      </c>
      <c r="AG13" s="550"/>
      <c r="AH13" s="551"/>
      <c r="AI13" s="138" t="s">
        <v>1018</v>
      </c>
      <c r="AJ13" s="49" t="s">
        <v>983</v>
      </c>
      <c r="AK13" s="137"/>
      <c r="AL13" s="136" t="s">
        <v>958</v>
      </c>
      <c r="AM13" s="49" t="s">
        <v>958</v>
      </c>
      <c r="AN13" s="49" t="s">
        <v>958</v>
      </c>
      <c r="AO13" s="49" t="s">
        <v>958</v>
      </c>
      <c r="AP13" s="49" t="s">
        <v>958</v>
      </c>
      <c r="AQ13" s="49" t="s">
        <v>958</v>
      </c>
      <c r="AR13" s="137" t="s">
        <v>958</v>
      </c>
      <c r="AS13" s="142"/>
      <c r="AT13" s="167"/>
      <c r="AU13" s="544"/>
      <c r="AV13" s="170"/>
    </row>
    <row r="14" spans="1:48" s="61" customFormat="1" ht="45" x14ac:dyDescent="0.25">
      <c r="A14" s="547"/>
      <c r="B14" s="547"/>
      <c r="C14" s="15" t="s">
        <v>978</v>
      </c>
      <c r="D14" s="15"/>
      <c r="E14" s="15" t="s">
        <v>346</v>
      </c>
      <c r="F14" s="281" t="s">
        <v>1192</v>
      </c>
      <c r="G14" s="46">
        <v>3</v>
      </c>
      <c r="H14" s="545"/>
      <c r="I14" s="545"/>
      <c r="J14" s="545"/>
      <c r="K14" s="554"/>
      <c r="L14" s="385" t="s">
        <v>1212</v>
      </c>
      <c r="M14" s="380">
        <v>16</v>
      </c>
      <c r="N14" s="385" t="s">
        <v>1212</v>
      </c>
      <c r="O14" s="380">
        <v>16</v>
      </c>
      <c r="P14" s="557">
        <v>92417</v>
      </c>
      <c r="Q14" s="380" t="s">
        <v>957</v>
      </c>
      <c r="R14" s="380" t="s">
        <v>957</v>
      </c>
      <c r="S14" s="561">
        <v>0</v>
      </c>
      <c r="T14" s="390">
        <f t="shared" si="0"/>
        <v>92417</v>
      </c>
      <c r="U14" s="351"/>
      <c r="V14" s="9"/>
      <c r="W14" s="117"/>
      <c r="X14" s="117"/>
      <c r="Y14" s="117"/>
      <c r="Z14" s="117"/>
      <c r="AA14" s="55"/>
      <c r="AB14" s="117"/>
      <c r="AC14" s="166"/>
      <c r="AD14" s="55"/>
      <c r="AE14" s="72" t="s">
        <v>1406</v>
      </c>
      <c r="AF14" s="323" t="s">
        <v>1407</v>
      </c>
      <c r="AG14" s="550"/>
      <c r="AH14" s="551"/>
      <c r="AI14" s="138" t="s">
        <v>1018</v>
      </c>
      <c r="AJ14" s="49" t="s">
        <v>983</v>
      </c>
      <c r="AK14" s="137"/>
      <c r="AL14" s="136" t="s">
        <v>958</v>
      </c>
      <c r="AM14" s="49" t="s">
        <v>958</v>
      </c>
      <c r="AN14" s="49" t="s">
        <v>958</v>
      </c>
      <c r="AO14" s="49" t="s">
        <v>958</v>
      </c>
      <c r="AP14" s="49" t="s">
        <v>958</v>
      </c>
      <c r="AQ14" s="49" t="s">
        <v>958</v>
      </c>
      <c r="AR14" s="137" t="s">
        <v>958</v>
      </c>
      <c r="AS14" s="142"/>
      <c r="AT14" s="162"/>
      <c r="AU14" s="544"/>
      <c r="AV14" s="170"/>
    </row>
    <row r="15" spans="1:48" s="61" customFormat="1" ht="45" x14ac:dyDescent="0.25">
      <c r="A15" s="547"/>
      <c r="B15" s="547"/>
      <c r="C15" s="15" t="s">
        <v>979</v>
      </c>
      <c r="D15" s="15"/>
      <c r="E15" s="15" t="s">
        <v>346</v>
      </c>
      <c r="F15" s="281" t="s">
        <v>1190</v>
      </c>
      <c r="G15" s="46">
        <v>2</v>
      </c>
      <c r="H15" s="545"/>
      <c r="I15" s="545"/>
      <c r="J15" s="545"/>
      <c r="K15" s="554"/>
      <c r="L15" s="385" t="s">
        <v>1212</v>
      </c>
      <c r="M15" s="380">
        <v>16</v>
      </c>
      <c r="N15" s="385" t="s">
        <v>1212</v>
      </c>
      <c r="O15" s="380">
        <v>16</v>
      </c>
      <c r="P15" s="558"/>
      <c r="Q15" s="380" t="s">
        <v>957</v>
      </c>
      <c r="R15" s="380" t="s">
        <v>957</v>
      </c>
      <c r="S15" s="562"/>
      <c r="T15" s="390">
        <f t="shared" si="0"/>
        <v>0</v>
      </c>
      <c r="U15" s="351"/>
      <c r="V15" s="187"/>
      <c r="W15" s="117"/>
      <c r="X15" s="117"/>
      <c r="Y15" s="117"/>
      <c r="Z15" s="55"/>
      <c r="AA15" s="55"/>
      <c r="AB15" s="55"/>
      <c r="AC15" s="117"/>
      <c r="AD15" s="117"/>
      <c r="AE15" s="72" t="s">
        <v>1408</v>
      </c>
      <c r="AF15" s="323" t="s">
        <v>1409</v>
      </c>
      <c r="AG15" s="552"/>
      <c r="AH15" s="553"/>
      <c r="AI15" s="138" t="s">
        <v>1018</v>
      </c>
      <c r="AJ15" s="49" t="s">
        <v>983</v>
      </c>
      <c r="AK15" s="137"/>
      <c r="AL15" s="136" t="s">
        <v>958</v>
      </c>
      <c r="AM15" s="49" t="s">
        <v>958</v>
      </c>
      <c r="AN15" s="49" t="s">
        <v>958</v>
      </c>
      <c r="AO15" s="49" t="s">
        <v>958</v>
      </c>
      <c r="AP15" s="49" t="s">
        <v>958</v>
      </c>
      <c r="AQ15" s="49" t="s">
        <v>958</v>
      </c>
      <c r="AR15" s="137" t="s">
        <v>958</v>
      </c>
      <c r="AS15" s="142" t="s">
        <v>571</v>
      </c>
      <c r="AT15" s="162">
        <v>1</v>
      </c>
      <c r="AU15" s="544"/>
      <c r="AV15" s="170"/>
    </row>
    <row r="16" spans="1:48" s="88" customFormat="1" ht="31.5" x14ac:dyDescent="0.25">
      <c r="A16" s="32">
        <v>9</v>
      </c>
      <c r="B16" s="32">
        <v>220</v>
      </c>
      <c r="C16" s="33" t="s">
        <v>354</v>
      </c>
      <c r="D16" s="33"/>
      <c r="E16" s="33"/>
      <c r="F16" s="33"/>
      <c r="G16" s="33"/>
      <c r="H16" s="33" t="s">
        <v>355</v>
      </c>
      <c r="I16" s="33" t="s">
        <v>356</v>
      </c>
      <c r="J16" s="33" t="s">
        <v>125</v>
      </c>
      <c r="K16" s="35">
        <v>43818</v>
      </c>
      <c r="L16" s="32" t="s">
        <v>357</v>
      </c>
      <c r="M16" s="32">
        <v>44</v>
      </c>
      <c r="N16" s="32">
        <v>0</v>
      </c>
      <c r="O16" s="32">
        <v>0</v>
      </c>
      <c r="P16" s="35">
        <v>0</v>
      </c>
      <c r="Q16" s="32"/>
      <c r="R16" s="32">
        <f>M16</f>
        <v>44</v>
      </c>
      <c r="S16" s="109"/>
      <c r="T16" s="360">
        <f t="shared" si="0"/>
        <v>0</v>
      </c>
      <c r="U16" s="354"/>
      <c r="V16" s="35"/>
      <c r="W16" s="34"/>
      <c r="X16" s="32"/>
      <c r="Y16" s="32"/>
      <c r="Z16" s="32"/>
      <c r="AA16" s="32"/>
      <c r="AB16" s="32"/>
      <c r="AC16" s="32"/>
      <c r="AD16" s="32"/>
      <c r="AE16" s="317"/>
      <c r="AF16" s="42"/>
      <c r="AG16" s="212"/>
      <c r="AH16" s="212"/>
      <c r="AI16" s="147"/>
      <c r="AJ16" s="42"/>
      <c r="AK16" s="148"/>
      <c r="AL16" s="147"/>
      <c r="AM16" s="42"/>
      <c r="AN16" s="42"/>
      <c r="AO16" s="42"/>
      <c r="AP16" s="42"/>
      <c r="AQ16" s="42"/>
      <c r="AR16" s="148"/>
      <c r="AS16" s="180" t="s">
        <v>474</v>
      </c>
      <c r="AT16" s="167"/>
      <c r="AU16" s="81"/>
      <c r="AV16" s="181"/>
    </row>
    <row r="17" spans="1:48" ht="31.5" x14ac:dyDescent="0.25">
      <c r="A17" s="119">
        <v>10</v>
      </c>
      <c r="B17" s="119">
        <v>229</v>
      </c>
      <c r="C17" s="119" t="s">
        <v>313</v>
      </c>
      <c r="D17" s="502" t="s">
        <v>1084</v>
      </c>
      <c r="E17" s="119" t="s">
        <v>346</v>
      </c>
      <c r="F17" s="67"/>
      <c r="G17" s="119">
        <v>0</v>
      </c>
      <c r="H17" s="117" t="s">
        <v>312</v>
      </c>
      <c r="I17" s="119" t="s">
        <v>487</v>
      </c>
      <c r="J17" s="117" t="s">
        <v>159</v>
      </c>
      <c r="K17" s="9">
        <f>1850+1691+1510+1510+1510+1510+1210+363</f>
        <v>11154</v>
      </c>
      <c r="L17" s="119" t="s">
        <v>226</v>
      </c>
      <c r="M17" s="119">
        <v>8</v>
      </c>
      <c r="N17" s="332" t="s">
        <v>839</v>
      </c>
      <c r="O17" s="304">
        <v>2</v>
      </c>
      <c r="P17" s="338">
        <v>3393.03</v>
      </c>
      <c r="Q17" s="332" t="s">
        <v>840</v>
      </c>
      <c r="R17" s="332">
        <f>M17-O17</f>
        <v>6</v>
      </c>
      <c r="S17" s="343">
        <v>5909.97</v>
      </c>
      <c r="T17" s="360">
        <f t="shared" si="0"/>
        <v>9303</v>
      </c>
      <c r="U17" s="351"/>
      <c r="V17" s="9"/>
      <c r="W17" s="19"/>
      <c r="X17" s="46"/>
      <c r="Y17" s="46"/>
      <c r="Z17" s="46"/>
      <c r="AA17" s="46"/>
      <c r="AB17" s="46"/>
      <c r="AC17" s="46"/>
      <c r="AD17" s="46"/>
      <c r="AE17" s="315" t="s">
        <v>972</v>
      </c>
      <c r="AF17" s="327"/>
      <c r="AG17" s="208"/>
      <c r="AH17" s="208"/>
      <c r="AI17" s="142" t="s">
        <v>948</v>
      </c>
      <c r="AJ17" s="121" t="s">
        <v>839</v>
      </c>
      <c r="AK17" s="143"/>
      <c r="AL17" s="142" t="s">
        <v>839</v>
      </c>
      <c r="AM17" s="121" t="s">
        <v>945</v>
      </c>
      <c r="AN17" s="121" t="s">
        <v>945</v>
      </c>
      <c r="AO17" s="121" t="s">
        <v>961</v>
      </c>
      <c r="AP17" s="121">
        <v>1</v>
      </c>
      <c r="AQ17" s="121">
        <v>1</v>
      </c>
      <c r="AR17" s="143" t="s">
        <v>958</v>
      </c>
      <c r="AS17" s="142" t="s">
        <v>1486</v>
      </c>
      <c r="AT17" s="162"/>
      <c r="AU17" s="82"/>
      <c r="AV17" s="143"/>
    </row>
    <row r="18" spans="1:48" ht="15.75" x14ac:dyDescent="0.25">
      <c r="A18" s="32">
        <v>11</v>
      </c>
      <c r="B18" s="32">
        <v>230</v>
      </c>
      <c r="C18" s="32" t="s">
        <v>365</v>
      </c>
      <c r="D18" s="32"/>
      <c r="E18" s="32"/>
      <c r="F18" s="32"/>
      <c r="G18" s="32"/>
      <c r="H18" s="33" t="s">
        <v>366</v>
      </c>
      <c r="I18" s="32">
        <v>1010529</v>
      </c>
      <c r="J18" s="33" t="s">
        <v>367</v>
      </c>
      <c r="K18" s="35">
        <v>10302</v>
      </c>
      <c r="L18" s="32" t="s">
        <v>368</v>
      </c>
      <c r="M18" s="32">
        <v>8</v>
      </c>
      <c r="N18" s="32"/>
      <c r="O18" s="32"/>
      <c r="P18" s="35"/>
      <c r="Q18" s="32"/>
      <c r="R18" s="32"/>
      <c r="S18" s="109"/>
      <c r="T18" s="360">
        <f t="shared" si="0"/>
        <v>0</v>
      </c>
      <c r="U18" s="354"/>
      <c r="V18" s="35"/>
      <c r="W18" s="34"/>
      <c r="X18" s="32"/>
      <c r="Y18" s="32"/>
      <c r="Z18" s="32"/>
      <c r="AA18" s="32"/>
      <c r="AB18" s="32"/>
      <c r="AC18" s="32"/>
      <c r="AD18" s="32"/>
      <c r="AE18" s="317"/>
      <c r="AF18" s="42"/>
      <c r="AG18" s="212"/>
      <c r="AH18" s="212"/>
      <c r="AI18" s="147"/>
      <c r="AJ18" s="42"/>
      <c r="AK18" s="148"/>
      <c r="AL18" s="147"/>
      <c r="AM18" s="42"/>
      <c r="AN18" s="42"/>
      <c r="AO18" s="42"/>
      <c r="AP18" s="42"/>
      <c r="AQ18" s="42"/>
      <c r="AR18" s="148"/>
      <c r="AS18" s="180" t="s">
        <v>474</v>
      </c>
      <c r="AT18" s="162"/>
      <c r="AU18" s="162"/>
      <c r="AV18" s="143"/>
    </row>
    <row r="19" spans="1:48" ht="31.5" x14ac:dyDescent="0.25">
      <c r="A19" s="32">
        <v>12</v>
      </c>
      <c r="B19" s="32">
        <v>236</v>
      </c>
      <c r="C19" s="32" t="s">
        <v>373</v>
      </c>
      <c r="D19" s="32"/>
      <c r="E19" s="32"/>
      <c r="F19" s="32"/>
      <c r="G19" s="32"/>
      <c r="H19" s="33" t="s">
        <v>374</v>
      </c>
      <c r="I19" s="32">
        <v>3340679</v>
      </c>
      <c r="J19" s="33" t="s">
        <v>376</v>
      </c>
      <c r="K19" s="35">
        <v>24290</v>
      </c>
      <c r="L19" s="32" t="s">
        <v>375</v>
      </c>
      <c r="M19" s="32">
        <v>11</v>
      </c>
      <c r="N19" s="32"/>
      <c r="O19" s="32"/>
      <c r="P19" s="35"/>
      <c r="Q19" s="32"/>
      <c r="R19" s="32"/>
      <c r="S19" s="109"/>
      <c r="T19" s="360">
        <f t="shared" si="0"/>
        <v>0</v>
      </c>
      <c r="U19" s="354"/>
      <c r="V19" s="35"/>
      <c r="W19" s="34"/>
      <c r="X19" s="32"/>
      <c r="Y19" s="32"/>
      <c r="Z19" s="32"/>
      <c r="AA19" s="32"/>
      <c r="AB19" s="32"/>
      <c r="AC19" s="32"/>
      <c r="AD19" s="32"/>
      <c r="AE19" s="317"/>
      <c r="AF19" s="42"/>
      <c r="AG19" s="212"/>
      <c r="AH19" s="212"/>
      <c r="AI19" s="147"/>
      <c r="AJ19" s="42"/>
      <c r="AK19" s="148"/>
      <c r="AL19" s="147"/>
      <c r="AM19" s="42"/>
      <c r="AN19" s="42"/>
      <c r="AO19" s="42"/>
      <c r="AP19" s="42"/>
      <c r="AQ19" s="42"/>
      <c r="AR19" s="148"/>
      <c r="AS19" s="180" t="s">
        <v>474</v>
      </c>
      <c r="AT19" s="162"/>
      <c r="AU19" s="162"/>
      <c r="AV19" s="143"/>
    </row>
    <row r="20" spans="1:48" ht="31.5" x14ac:dyDescent="0.25">
      <c r="A20" s="119">
        <v>13</v>
      </c>
      <c r="B20" s="119">
        <v>237</v>
      </c>
      <c r="C20" s="119" t="s">
        <v>51</v>
      </c>
      <c r="D20" s="502" t="s">
        <v>1084</v>
      </c>
      <c r="E20" s="119" t="s">
        <v>346</v>
      </c>
      <c r="F20" s="276" t="s">
        <v>715</v>
      </c>
      <c r="G20" s="31">
        <v>1</v>
      </c>
      <c r="H20" s="117" t="s">
        <v>104</v>
      </c>
      <c r="I20" s="119">
        <v>6817436</v>
      </c>
      <c r="J20" s="117" t="s">
        <v>206</v>
      </c>
      <c r="K20" s="9">
        <v>36726</v>
      </c>
      <c r="L20" s="119" t="s">
        <v>279</v>
      </c>
      <c r="M20" s="119">
        <v>22</v>
      </c>
      <c r="N20" s="310" t="s">
        <v>1370</v>
      </c>
      <c r="O20" s="304">
        <v>15</v>
      </c>
      <c r="P20" s="313">
        <v>31151</v>
      </c>
      <c r="Q20" s="412" t="s">
        <v>1414</v>
      </c>
      <c r="R20" s="312">
        <f>M20-O20</f>
        <v>7</v>
      </c>
      <c r="S20" s="344">
        <f>K20-P20</f>
        <v>5575</v>
      </c>
      <c r="T20" s="360">
        <f t="shared" si="0"/>
        <v>36726</v>
      </c>
      <c r="U20" s="351"/>
      <c r="V20" s="9"/>
      <c r="W20" s="163"/>
      <c r="X20" s="222"/>
      <c r="Y20" s="117">
        <v>12</v>
      </c>
      <c r="Z20" s="117"/>
      <c r="AA20" s="232" t="s">
        <v>1372</v>
      </c>
      <c r="AB20" s="117" t="s">
        <v>1371</v>
      </c>
      <c r="AC20" s="258"/>
      <c r="AD20" s="117"/>
      <c r="AE20" s="72" t="s">
        <v>1373</v>
      </c>
      <c r="AF20" s="391" t="s">
        <v>1374</v>
      </c>
      <c r="AG20" s="206"/>
      <c r="AH20" s="206"/>
      <c r="AI20" s="136" t="s">
        <v>948</v>
      </c>
      <c r="AJ20" s="49" t="s">
        <v>1026</v>
      </c>
      <c r="AK20" s="137"/>
      <c r="AL20" s="136" t="s">
        <v>1027</v>
      </c>
      <c r="AM20" s="121" t="s">
        <v>945</v>
      </c>
      <c r="AN20" s="121" t="s">
        <v>945</v>
      </c>
      <c r="AO20" s="49" t="s">
        <v>945</v>
      </c>
      <c r="AP20" s="49" t="s">
        <v>945</v>
      </c>
      <c r="AQ20" s="49" t="s">
        <v>945</v>
      </c>
      <c r="AR20" s="137" t="s">
        <v>945</v>
      </c>
      <c r="AS20" s="142" t="s">
        <v>571</v>
      </c>
      <c r="AT20" s="162">
        <v>1</v>
      </c>
      <c r="AU20" s="82">
        <v>46174</v>
      </c>
      <c r="AV20" s="143"/>
    </row>
    <row r="21" spans="1:48" ht="31.5" x14ac:dyDescent="0.25">
      <c r="A21" s="424">
        <v>14</v>
      </c>
      <c r="B21" s="19">
        <v>238</v>
      </c>
      <c r="C21" s="119" t="s">
        <v>377</v>
      </c>
      <c r="D21" s="502" t="s">
        <v>1554</v>
      </c>
      <c r="E21" s="119" t="s">
        <v>1554</v>
      </c>
      <c r="F21" s="270" t="s">
        <v>1085</v>
      </c>
      <c r="G21" s="119">
        <v>1</v>
      </c>
      <c r="H21" s="117" t="s">
        <v>472</v>
      </c>
      <c r="I21" s="119">
        <v>5919556</v>
      </c>
      <c r="J21" s="117" t="s">
        <v>473</v>
      </c>
      <c r="K21" s="9">
        <v>14661</v>
      </c>
      <c r="L21" s="119" t="s">
        <v>378</v>
      </c>
      <c r="M21" s="119">
        <v>9</v>
      </c>
      <c r="N21" s="304" t="s">
        <v>1427</v>
      </c>
      <c r="O21" s="304">
        <v>4</v>
      </c>
      <c r="P21" s="306">
        <v>8135</v>
      </c>
      <c r="Q21" s="304" t="s">
        <v>1428</v>
      </c>
      <c r="R21" s="304">
        <f>M21-O21</f>
        <v>5</v>
      </c>
      <c r="S21" s="294">
        <f>K21-P21</f>
        <v>6526</v>
      </c>
      <c r="T21" s="360">
        <f t="shared" si="0"/>
        <v>14661</v>
      </c>
      <c r="U21" s="351"/>
      <c r="V21" s="9"/>
      <c r="W21" s="117"/>
      <c r="X21" s="49"/>
      <c r="Y21" s="49"/>
      <c r="Z21" s="49"/>
      <c r="AA21" s="49"/>
      <c r="AB21" s="49"/>
      <c r="AC21" s="117"/>
      <c r="AD21" s="117"/>
      <c r="AE21" s="318" t="s">
        <v>1430</v>
      </c>
      <c r="AF21" s="49" t="s">
        <v>1429</v>
      </c>
      <c r="AG21" s="206"/>
      <c r="AH21" s="206"/>
      <c r="AI21" s="136"/>
      <c r="AJ21" s="49"/>
      <c r="AK21" s="137"/>
      <c r="AL21" s="144" t="s">
        <v>1041</v>
      </c>
      <c r="AM21" s="49" t="s">
        <v>945</v>
      </c>
      <c r="AN21" s="49" t="s">
        <v>945</v>
      </c>
      <c r="AO21" s="49" t="s">
        <v>295</v>
      </c>
      <c r="AP21" s="49" t="s">
        <v>948</v>
      </c>
      <c r="AQ21" s="49" t="s">
        <v>948</v>
      </c>
      <c r="AR21" s="137">
        <v>0</v>
      </c>
      <c r="AS21" s="144" t="s">
        <v>571</v>
      </c>
      <c r="AT21" s="162">
        <v>1</v>
      </c>
      <c r="AU21" s="82">
        <v>46174</v>
      </c>
      <c r="AV21" s="143"/>
    </row>
    <row r="22" spans="1:48" s="66" customFormat="1" ht="31.5" x14ac:dyDescent="0.25">
      <c r="A22" s="424">
        <v>15</v>
      </c>
      <c r="B22" s="119">
        <v>243</v>
      </c>
      <c r="C22" s="119" t="s">
        <v>384</v>
      </c>
      <c r="D22" s="502" t="s">
        <v>1084</v>
      </c>
      <c r="E22" s="201" t="s">
        <v>1090</v>
      </c>
      <c r="F22" s="270" t="s">
        <v>1185</v>
      </c>
      <c r="G22" s="119">
        <v>1</v>
      </c>
      <c r="H22" s="117" t="s">
        <v>385</v>
      </c>
      <c r="I22" s="119">
        <v>6488733</v>
      </c>
      <c r="J22" s="117" t="s">
        <v>159</v>
      </c>
      <c r="K22" s="9">
        <v>19533</v>
      </c>
      <c r="L22" s="312" t="s">
        <v>1206</v>
      </c>
      <c r="M22" s="312">
        <v>15</v>
      </c>
      <c r="N22" s="312" t="s">
        <v>1207</v>
      </c>
      <c r="O22" s="312">
        <v>8</v>
      </c>
      <c r="P22" s="313">
        <v>12631</v>
      </c>
      <c r="Q22" s="312" t="s">
        <v>1208</v>
      </c>
      <c r="R22" s="312">
        <v>7</v>
      </c>
      <c r="S22" s="341">
        <v>9636</v>
      </c>
      <c r="T22" s="360">
        <f t="shared" si="0"/>
        <v>22267</v>
      </c>
      <c r="U22" s="351"/>
      <c r="V22" s="9"/>
      <c r="W22" s="119"/>
      <c r="X22" s="119"/>
      <c r="Y22" s="119"/>
      <c r="Z22" s="13"/>
      <c r="AA22" s="119"/>
      <c r="AB22" s="119"/>
      <c r="AC22" s="424" t="s">
        <v>1505</v>
      </c>
      <c r="AD22" s="117"/>
      <c r="AE22" s="72" t="s">
        <v>1506</v>
      </c>
      <c r="AF22" s="323" t="s">
        <v>1507</v>
      </c>
      <c r="AG22" s="206"/>
      <c r="AH22" s="206"/>
      <c r="AI22" s="136" t="s">
        <v>948</v>
      </c>
      <c r="AJ22" s="49"/>
      <c r="AK22" s="137"/>
      <c r="AL22" s="144" t="s">
        <v>1040</v>
      </c>
      <c r="AM22" s="7" t="s">
        <v>958</v>
      </c>
      <c r="AN22" s="7" t="s">
        <v>945</v>
      </c>
      <c r="AO22" s="7" t="s">
        <v>945</v>
      </c>
      <c r="AP22" s="7" t="s">
        <v>945</v>
      </c>
      <c r="AQ22" s="7" t="s">
        <v>945</v>
      </c>
      <c r="AR22" s="145" t="s">
        <v>945</v>
      </c>
      <c r="AS22" s="144" t="s">
        <v>571</v>
      </c>
      <c r="AT22" s="167">
        <v>1</v>
      </c>
      <c r="AU22" s="165">
        <v>46204</v>
      </c>
      <c r="AV22" s="145"/>
    </row>
    <row r="23" spans="1:48" ht="31.5" x14ac:dyDescent="0.25">
      <c r="A23" s="118">
        <v>16</v>
      </c>
      <c r="B23" s="118">
        <v>247</v>
      </c>
      <c r="C23" s="118" t="s">
        <v>56</v>
      </c>
      <c r="D23" s="501"/>
      <c r="E23" s="118"/>
      <c r="F23" s="118"/>
      <c r="G23" s="118"/>
      <c r="H23" s="62" t="s">
        <v>109</v>
      </c>
      <c r="I23" s="118">
        <v>6488721</v>
      </c>
      <c r="J23" s="62" t="s">
        <v>211</v>
      </c>
      <c r="K23" s="12">
        <v>10494</v>
      </c>
      <c r="L23" s="118" t="s">
        <v>284</v>
      </c>
      <c r="M23" s="118">
        <v>13</v>
      </c>
      <c r="N23" s="32"/>
      <c r="O23" s="303">
        <v>0</v>
      </c>
      <c r="P23" s="35"/>
      <c r="Q23" s="32" t="s">
        <v>336</v>
      </c>
      <c r="R23" s="32">
        <f>M23</f>
        <v>13</v>
      </c>
      <c r="S23" s="109"/>
      <c r="T23" s="360">
        <f t="shared" si="0"/>
        <v>0</v>
      </c>
      <c r="U23" s="349"/>
      <c r="V23" s="12"/>
      <c r="W23" s="62"/>
      <c r="X23" s="62"/>
      <c r="Y23" s="62"/>
      <c r="Z23" s="62"/>
      <c r="AA23" s="62"/>
      <c r="AB23" s="62"/>
      <c r="AC23" s="62"/>
      <c r="AD23" s="62"/>
      <c r="AE23" s="320"/>
      <c r="AF23" s="42"/>
      <c r="AG23" s="213"/>
      <c r="AH23" s="213"/>
      <c r="AI23" s="150"/>
      <c r="AJ23" s="30"/>
      <c r="AK23" s="151"/>
      <c r="AL23" s="150"/>
      <c r="AM23" s="30"/>
      <c r="AN23" s="30"/>
      <c r="AO23" s="30"/>
      <c r="AP23" s="30"/>
      <c r="AQ23" s="30"/>
      <c r="AR23" s="151"/>
      <c r="AS23" s="150" t="s">
        <v>529</v>
      </c>
      <c r="AT23" s="162"/>
      <c r="AU23" s="162"/>
      <c r="AV23" s="143"/>
    </row>
    <row r="24" spans="1:48" s="66" customFormat="1" ht="33" customHeight="1" x14ac:dyDescent="0.25">
      <c r="A24" s="119">
        <v>17</v>
      </c>
      <c r="B24" s="119">
        <v>249</v>
      </c>
      <c r="C24" s="119" t="s">
        <v>396</v>
      </c>
      <c r="D24" s="502" t="s">
        <v>1554</v>
      </c>
      <c r="E24" s="119" t="s">
        <v>345</v>
      </c>
      <c r="F24" s="274" t="s">
        <v>1086</v>
      </c>
      <c r="G24" s="119">
        <v>1</v>
      </c>
      <c r="H24" s="117" t="s">
        <v>397</v>
      </c>
      <c r="I24" s="119">
        <v>3321846</v>
      </c>
      <c r="J24" s="117" t="s">
        <v>388</v>
      </c>
      <c r="K24" s="9">
        <v>4128</v>
      </c>
      <c r="L24" s="119" t="s">
        <v>195</v>
      </c>
      <c r="M24" s="119">
        <v>2</v>
      </c>
      <c r="N24" s="304" t="s">
        <v>1327</v>
      </c>
      <c r="O24" s="304">
        <v>2</v>
      </c>
      <c r="P24" s="306">
        <v>3000</v>
      </c>
      <c r="Q24" s="304" t="s">
        <v>1328</v>
      </c>
      <c r="R24" s="304">
        <v>0.5</v>
      </c>
      <c r="S24" s="294">
        <f>K24-P24</f>
        <v>1128</v>
      </c>
      <c r="T24" s="365">
        <f>K24</f>
        <v>4128</v>
      </c>
      <c r="U24" s="351"/>
      <c r="V24" s="9"/>
      <c r="W24" s="117"/>
      <c r="X24" s="258"/>
      <c r="Y24" s="258"/>
      <c r="Z24" s="117"/>
      <c r="AA24" s="117"/>
      <c r="AB24" s="223"/>
      <c r="AC24" s="232" t="s">
        <v>1135</v>
      </c>
      <c r="AD24" s="117"/>
      <c r="AE24" s="74"/>
      <c r="AF24" s="302" t="s">
        <v>1125</v>
      </c>
      <c r="AG24" s="167"/>
      <c r="AH24" s="209"/>
      <c r="AI24" s="144" t="s">
        <v>1025</v>
      </c>
      <c r="AJ24" s="7"/>
      <c r="AK24" s="145"/>
      <c r="AL24" s="136" t="s">
        <v>1034</v>
      </c>
      <c r="AM24" s="49" t="s">
        <v>948</v>
      </c>
      <c r="AN24" s="49" t="s">
        <v>958</v>
      </c>
      <c r="AO24" s="49" t="s">
        <v>958</v>
      </c>
      <c r="AP24" s="49" t="s">
        <v>958</v>
      </c>
      <c r="AQ24" s="49" t="s">
        <v>958</v>
      </c>
      <c r="AR24" s="137" t="s">
        <v>958</v>
      </c>
      <c r="AS24" s="144" t="s">
        <v>571</v>
      </c>
      <c r="AT24" s="167">
        <v>1</v>
      </c>
      <c r="AU24" s="165">
        <v>46023</v>
      </c>
      <c r="AV24" s="145"/>
    </row>
    <row r="25" spans="1:48" ht="63" x14ac:dyDescent="0.25">
      <c r="A25" s="424">
        <v>18</v>
      </c>
      <c r="B25" s="119">
        <v>250</v>
      </c>
      <c r="C25" s="119" t="s">
        <v>57</v>
      </c>
      <c r="D25" s="502" t="s">
        <v>1084</v>
      </c>
      <c r="E25" s="119" t="s">
        <v>346</v>
      </c>
      <c r="F25" s="269" t="s">
        <v>828</v>
      </c>
      <c r="G25" s="31">
        <v>1</v>
      </c>
      <c r="H25" s="117" t="s">
        <v>303</v>
      </c>
      <c r="I25" s="117" t="s">
        <v>304</v>
      </c>
      <c r="J25" s="117" t="s">
        <v>127</v>
      </c>
      <c r="K25" s="9">
        <v>25334</v>
      </c>
      <c r="L25" s="117" t="s">
        <v>841</v>
      </c>
      <c r="M25" s="117">
        <v>26</v>
      </c>
      <c r="N25" s="310" t="s">
        <v>1375</v>
      </c>
      <c r="O25" s="302">
        <v>9</v>
      </c>
      <c r="P25" s="337">
        <v>13942</v>
      </c>
      <c r="Q25" s="310" t="s">
        <v>1415</v>
      </c>
      <c r="R25" s="312">
        <f>M25-O25</f>
        <v>17</v>
      </c>
      <c r="S25" s="341">
        <f>K25-P25</f>
        <v>11392</v>
      </c>
      <c r="T25" s="360">
        <f t="shared" si="0"/>
        <v>25334</v>
      </c>
      <c r="U25" s="352"/>
      <c r="V25" s="9"/>
      <c r="W25" s="117"/>
      <c r="X25" s="121"/>
      <c r="Y25" s="121">
        <v>8</v>
      </c>
      <c r="Z25" s="117"/>
      <c r="AA25" s="117"/>
      <c r="AB25" s="117">
        <v>7</v>
      </c>
      <c r="AC25" s="117"/>
      <c r="AD25" s="117"/>
      <c r="AE25" s="86" t="s">
        <v>1147</v>
      </c>
      <c r="AF25" s="327" t="s">
        <v>1217</v>
      </c>
      <c r="AG25" s="208"/>
      <c r="AH25" s="208"/>
      <c r="AI25" s="142" t="s">
        <v>973</v>
      </c>
      <c r="AJ25" s="121"/>
      <c r="AK25" s="143"/>
      <c r="AL25" s="136" t="s">
        <v>1028</v>
      </c>
      <c r="AM25" s="49" t="s">
        <v>958</v>
      </c>
      <c r="AN25" s="49" t="s">
        <v>958</v>
      </c>
      <c r="AO25" s="49" t="s">
        <v>958</v>
      </c>
      <c r="AP25" s="49" t="s">
        <v>958</v>
      </c>
      <c r="AQ25" s="49" t="s">
        <v>958</v>
      </c>
      <c r="AR25" s="137" t="s">
        <v>958</v>
      </c>
      <c r="AS25" s="142" t="s">
        <v>571</v>
      </c>
      <c r="AT25" s="162">
        <v>1</v>
      </c>
      <c r="AU25" s="82">
        <v>46296</v>
      </c>
      <c r="AV25" s="143"/>
    </row>
    <row r="26" spans="1:48" ht="63" x14ac:dyDescent="0.25">
      <c r="A26" s="424">
        <v>19</v>
      </c>
      <c r="B26" s="119">
        <v>250</v>
      </c>
      <c r="C26" s="119" t="s">
        <v>57</v>
      </c>
      <c r="D26" s="502" t="s">
        <v>1084</v>
      </c>
      <c r="E26" s="119" t="s">
        <v>346</v>
      </c>
      <c r="F26" s="271" t="s">
        <v>762</v>
      </c>
      <c r="G26" s="119">
        <v>1</v>
      </c>
      <c r="H26" s="117" t="s">
        <v>306</v>
      </c>
      <c r="I26" s="117" t="s">
        <v>305</v>
      </c>
      <c r="J26" s="117" t="s">
        <v>127</v>
      </c>
      <c r="K26" s="9">
        <v>25375</v>
      </c>
      <c r="L26" s="117" t="s">
        <v>307</v>
      </c>
      <c r="M26" s="117">
        <v>26</v>
      </c>
      <c r="N26" s="310" t="s">
        <v>1376</v>
      </c>
      <c r="O26" s="302">
        <v>11</v>
      </c>
      <c r="P26" s="337">
        <v>13531.3</v>
      </c>
      <c r="Q26" s="310" t="s">
        <v>1416</v>
      </c>
      <c r="R26" s="312">
        <f>M26-O26</f>
        <v>15</v>
      </c>
      <c r="S26" s="341">
        <f>K26-P26</f>
        <v>11843.7</v>
      </c>
      <c r="T26" s="360">
        <f t="shared" si="0"/>
        <v>25375</v>
      </c>
      <c r="U26" s="352"/>
      <c r="V26" s="9"/>
      <c r="W26" s="117"/>
      <c r="X26" s="117"/>
      <c r="Y26" s="117">
        <v>7</v>
      </c>
      <c r="Z26" s="117"/>
      <c r="AA26" s="117"/>
      <c r="AB26" s="117"/>
      <c r="AC26" s="117" t="s">
        <v>1377</v>
      </c>
      <c r="AD26" s="117"/>
      <c r="AE26" s="72" t="s">
        <v>1378</v>
      </c>
      <c r="AF26" s="323" t="s">
        <v>1379</v>
      </c>
      <c r="AG26" s="206"/>
      <c r="AH26" s="206"/>
      <c r="AI26" s="136" t="s">
        <v>973</v>
      </c>
      <c r="AJ26" s="49"/>
      <c r="AK26" s="137"/>
      <c r="AL26" s="136" t="s">
        <v>1029</v>
      </c>
      <c r="AM26" s="49" t="s">
        <v>958</v>
      </c>
      <c r="AN26" s="49" t="s">
        <v>945</v>
      </c>
      <c r="AO26" s="49" t="s">
        <v>958</v>
      </c>
      <c r="AP26" s="49" t="s">
        <v>958</v>
      </c>
      <c r="AQ26" s="49" t="s">
        <v>958</v>
      </c>
      <c r="AR26" s="137" t="s">
        <v>958</v>
      </c>
      <c r="AS26" s="144" t="s">
        <v>571</v>
      </c>
      <c r="AT26" s="162">
        <v>1</v>
      </c>
      <c r="AU26" s="82">
        <v>46296</v>
      </c>
      <c r="AV26" s="143"/>
    </row>
    <row r="27" spans="1:48" s="66" customFormat="1" ht="21.95" customHeight="1" x14ac:dyDescent="0.25">
      <c r="A27" s="424">
        <v>20</v>
      </c>
      <c r="B27" s="24">
        <v>251</v>
      </c>
      <c r="C27" s="24" t="s">
        <v>398</v>
      </c>
      <c r="D27" s="305"/>
      <c r="E27" s="24"/>
      <c r="F27" s="24"/>
      <c r="G27" s="24"/>
      <c r="H27" s="25" t="s">
        <v>399</v>
      </c>
      <c r="I27" s="25">
        <v>3343016</v>
      </c>
      <c r="J27" s="25" t="s">
        <v>400</v>
      </c>
      <c r="K27" s="27">
        <v>20649</v>
      </c>
      <c r="L27" s="25" t="s">
        <v>401</v>
      </c>
      <c r="M27" s="25">
        <v>11</v>
      </c>
      <c r="N27" s="305"/>
      <c r="O27" s="25"/>
      <c r="P27" s="28"/>
      <c r="Q27" s="25"/>
      <c r="R27" s="305"/>
      <c r="S27" s="111">
        <v>20649</v>
      </c>
      <c r="T27" s="360">
        <f t="shared" si="0"/>
        <v>20649</v>
      </c>
      <c r="U27" s="355"/>
      <c r="V27" s="27"/>
      <c r="W27" s="24"/>
      <c r="X27" s="24"/>
      <c r="Y27" s="24"/>
      <c r="Z27" s="24"/>
      <c r="AA27" s="24"/>
      <c r="AB27" s="24"/>
      <c r="AC27" s="24"/>
      <c r="AD27" s="24"/>
      <c r="AE27" s="319"/>
      <c r="AF27" s="41"/>
      <c r="AG27" s="214"/>
      <c r="AH27" s="214"/>
      <c r="AI27" s="152"/>
      <c r="AJ27" s="41"/>
      <c r="AK27" s="153"/>
      <c r="AL27" s="152"/>
      <c r="AM27" s="41"/>
      <c r="AN27" s="41"/>
      <c r="AO27" s="41"/>
      <c r="AP27" s="41"/>
      <c r="AQ27" s="41"/>
      <c r="AR27" s="153"/>
      <c r="AS27" s="152" t="s">
        <v>529</v>
      </c>
      <c r="AT27" s="167"/>
      <c r="AU27" s="167"/>
      <c r="AV27" s="145"/>
    </row>
    <row r="28" spans="1:48" s="66" customFormat="1" ht="21.95" customHeight="1" x14ac:dyDescent="0.25">
      <c r="A28" s="424">
        <v>21</v>
      </c>
      <c r="B28" s="24">
        <v>253</v>
      </c>
      <c r="C28" s="24" t="s">
        <v>406</v>
      </c>
      <c r="D28" s="305"/>
      <c r="E28" s="24"/>
      <c r="F28" s="24"/>
      <c r="G28" s="24"/>
      <c r="H28" s="25" t="s">
        <v>407</v>
      </c>
      <c r="I28" s="25">
        <v>1170518</v>
      </c>
      <c r="J28" s="25" t="s">
        <v>408</v>
      </c>
      <c r="K28" s="27">
        <v>5774</v>
      </c>
      <c r="L28" s="25" t="s">
        <v>409</v>
      </c>
      <c r="M28" s="25">
        <v>8</v>
      </c>
      <c r="N28" s="305"/>
      <c r="O28" s="25"/>
      <c r="P28" s="28"/>
      <c r="Q28" s="25"/>
      <c r="R28" s="305"/>
      <c r="S28" s="111">
        <v>5774</v>
      </c>
      <c r="T28" s="360">
        <f t="shared" si="0"/>
        <v>5774</v>
      </c>
      <c r="U28" s="355"/>
      <c r="V28" s="27"/>
      <c r="W28" s="24"/>
      <c r="X28" s="24"/>
      <c r="Y28" s="24"/>
      <c r="Z28" s="24"/>
      <c r="AA28" s="24"/>
      <c r="AB28" s="24"/>
      <c r="AC28" s="24"/>
      <c r="AD28" s="24"/>
      <c r="AE28" s="319"/>
      <c r="AF28" s="41"/>
      <c r="AG28" s="214"/>
      <c r="AH28" s="214"/>
      <c r="AI28" s="152"/>
      <c r="AJ28" s="41"/>
      <c r="AK28" s="153"/>
      <c r="AL28" s="152"/>
      <c r="AM28" s="41"/>
      <c r="AN28" s="41"/>
      <c r="AO28" s="41"/>
      <c r="AP28" s="41"/>
      <c r="AQ28" s="41"/>
      <c r="AR28" s="153"/>
      <c r="AS28" s="152" t="s">
        <v>529</v>
      </c>
      <c r="AT28" s="167"/>
      <c r="AU28" s="167"/>
      <c r="AV28" s="145"/>
    </row>
    <row r="29" spans="1:48" ht="31.5" x14ac:dyDescent="0.25">
      <c r="A29" s="424">
        <v>22</v>
      </c>
      <c r="B29" s="119">
        <v>255</v>
      </c>
      <c r="C29" s="119" t="s">
        <v>58</v>
      </c>
      <c r="D29" s="502"/>
      <c r="E29" s="119"/>
      <c r="F29" s="119"/>
      <c r="G29" s="119"/>
      <c r="H29" s="21" t="s">
        <v>549</v>
      </c>
      <c r="I29" s="119"/>
      <c r="J29" s="117"/>
      <c r="K29" s="9"/>
      <c r="L29" s="119" t="s">
        <v>212</v>
      </c>
      <c r="M29" s="119"/>
      <c r="N29" s="304"/>
      <c r="O29" s="304"/>
      <c r="P29" s="306"/>
      <c r="Q29" s="304"/>
      <c r="R29" s="304"/>
      <c r="S29" s="294"/>
      <c r="T29" s="360">
        <f t="shared" si="0"/>
        <v>0</v>
      </c>
      <c r="U29" s="351"/>
      <c r="V29" s="9"/>
      <c r="W29" s="119"/>
      <c r="X29" s="119"/>
      <c r="Y29" s="119"/>
      <c r="Z29" s="119"/>
      <c r="AA29" s="119"/>
      <c r="AB29" s="119"/>
      <c r="AC29" s="119"/>
      <c r="AD29" s="119"/>
      <c r="AE29" s="315"/>
      <c r="AF29" s="307"/>
      <c r="AG29" s="208"/>
      <c r="AH29" s="208"/>
      <c r="AI29" s="142"/>
      <c r="AJ29" s="121"/>
      <c r="AK29" s="143"/>
      <c r="AL29" s="144" t="s">
        <v>958</v>
      </c>
      <c r="AM29" s="121"/>
      <c r="AN29" s="121"/>
      <c r="AO29" s="121"/>
      <c r="AP29" s="121"/>
      <c r="AQ29" s="121"/>
      <c r="AR29" s="143"/>
      <c r="AS29" s="142" t="s">
        <v>212</v>
      </c>
      <c r="AT29" s="162"/>
      <c r="AU29" s="162"/>
      <c r="AV29" s="143"/>
    </row>
    <row r="30" spans="1:48" ht="47.25" x14ac:dyDescent="0.25">
      <c r="A30" s="424">
        <v>23</v>
      </c>
      <c r="B30" s="119">
        <v>258</v>
      </c>
      <c r="C30" s="119" t="s">
        <v>413</v>
      </c>
      <c r="D30" s="502" t="s">
        <v>1084</v>
      </c>
      <c r="E30" s="119" t="s">
        <v>346</v>
      </c>
      <c r="F30" s="272" t="s">
        <v>1183</v>
      </c>
      <c r="G30" s="119">
        <v>2</v>
      </c>
      <c r="H30" s="117" t="s">
        <v>1010</v>
      </c>
      <c r="I30" s="119">
        <v>6453275</v>
      </c>
      <c r="J30" s="117" t="s">
        <v>159</v>
      </c>
      <c r="K30" s="9">
        <v>72057</v>
      </c>
      <c r="L30" s="119" t="s">
        <v>414</v>
      </c>
      <c r="M30" s="119">
        <v>33</v>
      </c>
      <c r="N30" s="310" t="s">
        <v>1380</v>
      </c>
      <c r="O30" s="304">
        <v>9</v>
      </c>
      <c r="P30" s="313">
        <v>28035</v>
      </c>
      <c r="Q30" s="312" t="s">
        <v>1381</v>
      </c>
      <c r="R30" s="312">
        <f>M30-O30</f>
        <v>24</v>
      </c>
      <c r="S30" s="341">
        <f>K30-P30</f>
        <v>44022</v>
      </c>
      <c r="T30" s="360">
        <f t="shared" ref="T30:T44" si="1">P30+S30</f>
        <v>72057</v>
      </c>
      <c r="U30" s="351"/>
      <c r="V30" s="9"/>
      <c r="W30" s="55"/>
      <c r="X30" s="55"/>
      <c r="Y30" s="55"/>
      <c r="Z30" s="117"/>
      <c r="AA30" s="117"/>
      <c r="AB30" s="117" t="s">
        <v>1382</v>
      </c>
      <c r="AC30" s="187"/>
      <c r="AD30" s="117"/>
      <c r="AE30" s="72" t="s">
        <v>1082</v>
      </c>
      <c r="AF30" s="324" t="s">
        <v>1383</v>
      </c>
      <c r="AG30" s="206"/>
      <c r="AH30" s="206"/>
      <c r="AI30" s="136" t="s">
        <v>973</v>
      </c>
      <c r="AJ30" s="49"/>
      <c r="AK30" s="137"/>
      <c r="AL30" s="136" t="s">
        <v>1030</v>
      </c>
      <c r="AM30" s="49" t="s">
        <v>958</v>
      </c>
      <c r="AN30" s="49" t="s">
        <v>958</v>
      </c>
      <c r="AO30" s="49" t="s">
        <v>958</v>
      </c>
      <c r="AP30" s="49" t="s">
        <v>958</v>
      </c>
      <c r="AQ30" s="49" t="s">
        <v>958</v>
      </c>
      <c r="AR30" s="137" t="s">
        <v>958</v>
      </c>
      <c r="AS30" s="144" t="s">
        <v>571</v>
      </c>
      <c r="AT30" s="162">
        <v>1</v>
      </c>
      <c r="AU30" s="82">
        <v>46357</v>
      </c>
      <c r="AV30" s="143"/>
    </row>
    <row r="31" spans="1:48" ht="47.25" x14ac:dyDescent="0.25">
      <c r="A31" s="424">
        <v>24</v>
      </c>
      <c r="B31" s="119">
        <v>259</v>
      </c>
      <c r="C31" s="119" t="s">
        <v>415</v>
      </c>
      <c r="D31" s="502" t="s">
        <v>1554</v>
      </c>
      <c r="E31" s="500" t="s">
        <v>1555</v>
      </c>
      <c r="F31" s="272" t="s">
        <v>1179</v>
      </c>
      <c r="G31" s="119">
        <v>2</v>
      </c>
      <c r="H31" s="117" t="s">
        <v>477</v>
      </c>
      <c r="I31" s="119">
        <v>6854457</v>
      </c>
      <c r="J31" s="117" t="s">
        <v>416</v>
      </c>
      <c r="K31" s="9">
        <v>23791</v>
      </c>
      <c r="L31" s="119" t="s">
        <v>417</v>
      </c>
      <c r="M31" s="119">
        <v>14</v>
      </c>
      <c r="N31" s="312" t="s">
        <v>1290</v>
      </c>
      <c r="O31" s="304">
        <v>13.5</v>
      </c>
      <c r="P31" s="313">
        <v>23000</v>
      </c>
      <c r="Q31" s="310" t="s">
        <v>1291</v>
      </c>
      <c r="R31" s="316">
        <f>M31-O31</f>
        <v>0.5</v>
      </c>
      <c r="S31" s="342">
        <f>K31-P31</f>
        <v>791</v>
      </c>
      <c r="T31" s="360">
        <f t="shared" si="1"/>
        <v>23791</v>
      </c>
      <c r="U31" s="351"/>
      <c r="V31" s="9"/>
      <c r="W31" s="55"/>
      <c r="X31" s="55"/>
      <c r="Y31" s="55" t="s">
        <v>1292</v>
      </c>
      <c r="Z31" s="55"/>
      <c r="AA31" s="55"/>
      <c r="AB31" s="55" t="s">
        <v>1293</v>
      </c>
      <c r="AC31" s="55"/>
      <c r="AD31" s="117"/>
      <c r="AE31" s="72" t="s">
        <v>1294</v>
      </c>
      <c r="AF31" s="323" t="s">
        <v>1295</v>
      </c>
      <c r="AG31" s="49"/>
      <c r="AH31" s="206"/>
      <c r="AI31" s="138" t="s">
        <v>943</v>
      </c>
      <c r="AJ31" s="4" t="s">
        <v>944</v>
      </c>
      <c r="AK31" s="139" t="s">
        <v>957</v>
      </c>
      <c r="AL31" s="136" t="s">
        <v>1016</v>
      </c>
      <c r="AM31" s="4" t="s">
        <v>945</v>
      </c>
      <c r="AN31" s="4" t="s">
        <v>945</v>
      </c>
      <c r="AO31" s="49" t="s">
        <v>950</v>
      </c>
      <c r="AP31" s="49" t="s">
        <v>943</v>
      </c>
      <c r="AQ31" s="49" t="s">
        <v>943</v>
      </c>
      <c r="AR31" s="149" t="s">
        <v>943</v>
      </c>
      <c r="AS31" s="144"/>
      <c r="AT31" s="162"/>
      <c r="AU31" s="82">
        <v>46174</v>
      </c>
      <c r="AV31" s="143"/>
    </row>
    <row r="32" spans="1:48" s="66" customFormat="1" ht="31.5" x14ac:dyDescent="0.25">
      <c r="A32" s="508">
        <v>25</v>
      </c>
      <c r="B32" s="39">
        <v>269</v>
      </c>
      <c r="C32" s="508" t="s">
        <v>429</v>
      </c>
      <c r="D32" s="508" t="s">
        <v>1554</v>
      </c>
      <c r="E32" s="507" t="s">
        <v>1555</v>
      </c>
      <c r="F32" s="508"/>
      <c r="G32" s="508"/>
      <c r="H32" s="507" t="s">
        <v>430</v>
      </c>
      <c r="I32" s="508" t="s">
        <v>432</v>
      </c>
      <c r="J32" s="507" t="s">
        <v>433</v>
      </c>
      <c r="K32" s="509">
        <v>32011</v>
      </c>
      <c r="L32" s="508" t="s">
        <v>434</v>
      </c>
      <c r="M32" s="508">
        <v>12</v>
      </c>
      <c r="N32" s="508"/>
      <c r="O32" s="508"/>
      <c r="P32" s="509"/>
      <c r="Q32" s="508" t="str">
        <f t="shared" ref="Q32:R34" si="2">L32</f>
        <v>P1, 1-10, Roof</v>
      </c>
      <c r="R32" s="508">
        <f t="shared" si="2"/>
        <v>12</v>
      </c>
      <c r="S32" s="294">
        <v>32011</v>
      </c>
      <c r="T32" s="365">
        <f t="shared" si="1"/>
        <v>32011</v>
      </c>
      <c r="U32" s="351"/>
      <c r="V32" s="509"/>
      <c r="W32" s="508"/>
      <c r="X32" s="508"/>
      <c r="Y32" s="508"/>
      <c r="Z32" s="508"/>
      <c r="AA32" s="508"/>
      <c r="AB32" s="508"/>
      <c r="AC32" s="508"/>
      <c r="AD32" s="508"/>
      <c r="AE32" s="74"/>
      <c r="AF32" s="167"/>
      <c r="AG32" s="209"/>
      <c r="AH32" s="209"/>
      <c r="AI32" s="144"/>
      <c r="AJ32" s="167"/>
      <c r="AK32" s="145"/>
      <c r="AL32" s="144"/>
      <c r="AM32" s="167"/>
      <c r="AN32" s="167"/>
      <c r="AO32" s="167"/>
      <c r="AP32" s="167"/>
      <c r="AQ32" s="167"/>
      <c r="AR32" s="145"/>
      <c r="AS32" s="144" t="s">
        <v>529</v>
      </c>
      <c r="AT32" s="167"/>
      <c r="AU32" s="167"/>
      <c r="AV32" s="145"/>
    </row>
    <row r="33" spans="1:48" s="66" customFormat="1" ht="31.5" x14ac:dyDescent="0.25">
      <c r="A33" s="488">
        <v>26</v>
      </c>
      <c r="B33" s="39">
        <v>269</v>
      </c>
      <c r="C33" s="488" t="s">
        <v>429</v>
      </c>
      <c r="D33" s="502" t="s">
        <v>1554</v>
      </c>
      <c r="E33" s="507" t="s">
        <v>1555</v>
      </c>
      <c r="F33" s="508"/>
      <c r="G33" s="488"/>
      <c r="H33" s="487" t="s">
        <v>431</v>
      </c>
      <c r="I33" s="488" t="s">
        <v>435</v>
      </c>
      <c r="J33" s="487" t="s">
        <v>433</v>
      </c>
      <c r="K33" s="489">
        <v>20339</v>
      </c>
      <c r="L33" s="488" t="s">
        <v>436</v>
      </c>
      <c r="M33" s="488">
        <v>14</v>
      </c>
      <c r="N33" s="488"/>
      <c r="O33" s="488"/>
      <c r="P33" s="489"/>
      <c r="Q33" s="488" t="str">
        <f t="shared" si="2"/>
        <v>P1, P2, 1-11, R</v>
      </c>
      <c r="R33" s="488">
        <f t="shared" si="2"/>
        <v>14</v>
      </c>
      <c r="S33" s="294">
        <v>20339</v>
      </c>
      <c r="T33" s="365">
        <f t="shared" si="1"/>
        <v>20339</v>
      </c>
      <c r="U33" s="351"/>
      <c r="V33" s="489"/>
      <c r="W33" s="488"/>
      <c r="X33" s="488"/>
      <c r="Y33" s="488"/>
      <c r="Z33" s="488"/>
      <c r="AA33" s="488"/>
      <c r="AB33" s="488"/>
      <c r="AC33" s="488"/>
      <c r="AD33" s="488"/>
      <c r="AE33" s="74"/>
      <c r="AF33" s="167"/>
      <c r="AG33" s="209"/>
      <c r="AH33" s="209"/>
      <c r="AI33" s="144"/>
      <c r="AJ33" s="167"/>
      <c r="AK33" s="145"/>
      <c r="AL33" s="144"/>
      <c r="AM33" s="167"/>
      <c r="AN33" s="167"/>
      <c r="AO33" s="167"/>
      <c r="AP33" s="167"/>
      <c r="AQ33" s="167"/>
      <c r="AR33" s="145"/>
      <c r="AS33" s="144" t="s">
        <v>529</v>
      </c>
      <c r="AT33" s="167"/>
      <c r="AU33" s="167"/>
      <c r="AV33" s="145"/>
    </row>
    <row r="34" spans="1:48" s="66" customFormat="1" ht="78.75" customHeight="1" x14ac:dyDescent="0.25">
      <c r="A34" s="248">
        <v>27</v>
      </c>
      <c r="B34" s="248">
        <v>273</v>
      </c>
      <c r="C34" s="248" t="s">
        <v>253</v>
      </c>
      <c r="D34" s="502" t="s">
        <v>1554</v>
      </c>
      <c r="E34" s="248" t="s">
        <v>1554</v>
      </c>
      <c r="F34" s="270" t="s">
        <v>1491</v>
      </c>
      <c r="G34" s="248">
        <v>5</v>
      </c>
      <c r="H34" s="247" t="s">
        <v>256</v>
      </c>
      <c r="I34" s="248" t="s">
        <v>254</v>
      </c>
      <c r="J34" s="247" t="s">
        <v>153</v>
      </c>
      <c r="K34" s="246">
        <v>194707</v>
      </c>
      <c r="L34" s="248" t="s">
        <v>255</v>
      </c>
      <c r="M34" s="248">
        <v>30</v>
      </c>
      <c r="N34" s="397" t="s">
        <v>1431</v>
      </c>
      <c r="O34" s="304"/>
      <c r="P34" s="306">
        <v>5944</v>
      </c>
      <c r="Q34" s="304" t="str">
        <f t="shared" si="2"/>
        <v>M, P1,P2,1-26, R</v>
      </c>
      <c r="R34" s="304">
        <f t="shared" si="2"/>
        <v>30</v>
      </c>
      <c r="S34" s="294">
        <f>K34-P34</f>
        <v>188763</v>
      </c>
      <c r="T34" s="360">
        <f t="shared" si="1"/>
        <v>194707</v>
      </c>
      <c r="U34" s="351"/>
      <c r="V34" s="246"/>
      <c r="W34" s="248" t="s">
        <v>1437</v>
      </c>
      <c r="X34" s="248" t="s">
        <v>1435</v>
      </c>
      <c r="Y34" s="248" t="s">
        <v>1436</v>
      </c>
      <c r="Z34" s="248"/>
      <c r="AA34" s="248"/>
      <c r="AB34" s="397" t="s">
        <v>1433</v>
      </c>
      <c r="AC34" s="248" t="s">
        <v>1434</v>
      </c>
      <c r="AD34" s="248"/>
      <c r="AE34" s="74"/>
      <c r="AF34" s="167" t="s">
        <v>1432</v>
      </c>
      <c r="AG34" s="209"/>
      <c r="AH34" s="209"/>
      <c r="AI34" s="144"/>
      <c r="AJ34" s="167"/>
      <c r="AK34" s="145"/>
      <c r="AL34" s="144"/>
      <c r="AM34" s="167"/>
      <c r="AN34" s="167"/>
      <c r="AO34" s="167"/>
      <c r="AP34" s="167"/>
      <c r="AQ34" s="167"/>
      <c r="AR34" s="145"/>
      <c r="AS34" s="144" t="s">
        <v>529</v>
      </c>
      <c r="AT34" s="167"/>
      <c r="AU34" s="167"/>
      <c r="AV34" s="145" t="s">
        <v>1073</v>
      </c>
    </row>
    <row r="35" spans="1:48" ht="31.5" x14ac:dyDescent="0.25">
      <c r="A35" s="119">
        <v>28</v>
      </c>
      <c r="B35" s="119">
        <v>274</v>
      </c>
      <c r="C35" s="119" t="s">
        <v>227</v>
      </c>
      <c r="D35" s="502" t="s">
        <v>1554</v>
      </c>
      <c r="E35" s="119" t="s">
        <v>347</v>
      </c>
      <c r="F35" s="119"/>
      <c r="G35" s="119"/>
      <c r="H35" s="117" t="s">
        <v>913</v>
      </c>
      <c r="I35" s="119" t="s">
        <v>234</v>
      </c>
      <c r="J35" s="117" t="s">
        <v>205</v>
      </c>
      <c r="K35" s="9">
        <v>7543</v>
      </c>
      <c r="L35" s="119" t="s">
        <v>233</v>
      </c>
      <c r="M35" s="119">
        <v>6</v>
      </c>
      <c r="N35" s="310" t="s">
        <v>1296</v>
      </c>
      <c r="O35" s="304">
        <v>5</v>
      </c>
      <c r="P35" s="337">
        <v>7317</v>
      </c>
      <c r="Q35" s="310" t="s">
        <v>1218</v>
      </c>
      <c r="R35" s="310">
        <v>1</v>
      </c>
      <c r="S35" s="342">
        <f>K35-P35</f>
        <v>226</v>
      </c>
      <c r="T35" s="360">
        <f t="shared" si="1"/>
        <v>7543</v>
      </c>
      <c r="U35" s="351"/>
      <c r="V35" s="9"/>
      <c r="W35" s="117"/>
      <c r="X35" s="117"/>
      <c r="Y35" s="51" t="s">
        <v>1297</v>
      </c>
      <c r="AA35" s="117"/>
      <c r="AB35" s="117"/>
      <c r="AC35" s="117"/>
      <c r="AD35" s="117"/>
      <c r="AE35" s="74" t="s">
        <v>832</v>
      </c>
      <c r="AF35" s="323" t="s">
        <v>1134</v>
      </c>
      <c r="AG35" s="49"/>
      <c r="AH35" s="206"/>
      <c r="AI35" s="138" t="s">
        <v>1079</v>
      </c>
      <c r="AJ35" s="4" t="s">
        <v>944</v>
      </c>
      <c r="AK35" s="139" t="s">
        <v>957</v>
      </c>
      <c r="AL35" s="136" t="s">
        <v>1017</v>
      </c>
      <c r="AM35" s="4" t="s">
        <v>945</v>
      </c>
      <c r="AN35" s="4" t="s">
        <v>945</v>
      </c>
      <c r="AO35" s="7" t="s">
        <v>950</v>
      </c>
      <c r="AP35" s="7" t="s">
        <v>948</v>
      </c>
      <c r="AQ35" s="7" t="s">
        <v>948</v>
      </c>
      <c r="AR35" s="154" t="s">
        <v>948</v>
      </c>
      <c r="AS35" s="144"/>
      <c r="AT35" s="162"/>
      <c r="AU35" s="82">
        <v>46054</v>
      </c>
      <c r="AV35" s="143"/>
    </row>
    <row r="36" spans="1:48" s="66" customFormat="1" ht="31.5" x14ac:dyDescent="0.25">
      <c r="A36" s="119">
        <v>29</v>
      </c>
      <c r="B36" s="119">
        <v>275</v>
      </c>
      <c r="C36" s="119" t="s">
        <v>228</v>
      </c>
      <c r="D36" s="502" t="s">
        <v>1554</v>
      </c>
      <c r="E36" s="119" t="s">
        <v>345</v>
      </c>
      <c r="F36" s="117"/>
      <c r="G36" s="119"/>
      <c r="H36" s="117" t="s">
        <v>237</v>
      </c>
      <c r="I36" s="119">
        <v>6181293</v>
      </c>
      <c r="J36" s="117" t="s">
        <v>236</v>
      </c>
      <c r="K36" s="9">
        <v>5242</v>
      </c>
      <c r="L36" s="119" t="s">
        <v>235</v>
      </c>
      <c r="M36" s="119">
        <v>6</v>
      </c>
      <c r="N36" s="304" t="s">
        <v>480</v>
      </c>
      <c r="O36" s="304">
        <v>5</v>
      </c>
      <c r="P36" s="306">
        <v>4673</v>
      </c>
      <c r="Q36" s="304" t="s">
        <v>866</v>
      </c>
      <c r="R36" s="304">
        <f>M36-O36</f>
        <v>1</v>
      </c>
      <c r="S36" s="294">
        <v>566</v>
      </c>
      <c r="T36" s="360">
        <f t="shared" si="1"/>
        <v>5239</v>
      </c>
      <c r="U36" s="356"/>
      <c r="V36" s="9"/>
      <c r="W36" s="119"/>
      <c r="X36" s="119"/>
      <c r="Y36" s="405" t="s">
        <v>186</v>
      </c>
      <c r="Z36" s="405" t="s">
        <v>1329</v>
      </c>
      <c r="AA36" s="119"/>
      <c r="AB36" s="119"/>
      <c r="AC36" s="119"/>
      <c r="AD36" s="119"/>
      <c r="AE36" s="74" t="s">
        <v>1093</v>
      </c>
      <c r="AF36" s="167"/>
      <c r="AG36" s="167"/>
      <c r="AH36" s="209"/>
      <c r="AI36" s="136" t="s">
        <v>1018</v>
      </c>
      <c r="AJ36" s="49" t="s">
        <v>944</v>
      </c>
      <c r="AK36" s="145"/>
      <c r="AL36" s="136" t="s">
        <v>1035</v>
      </c>
      <c r="AM36" s="49" t="s">
        <v>958</v>
      </c>
      <c r="AN36" s="49" t="s">
        <v>958</v>
      </c>
      <c r="AO36" s="49" t="s">
        <v>958</v>
      </c>
      <c r="AP36" s="49" t="s">
        <v>958</v>
      </c>
      <c r="AQ36" s="49" t="s">
        <v>958</v>
      </c>
      <c r="AR36" s="137" t="s">
        <v>958</v>
      </c>
      <c r="AS36" s="144"/>
      <c r="AT36" s="167"/>
      <c r="AU36" s="165">
        <v>46023</v>
      </c>
      <c r="AV36" s="145"/>
    </row>
    <row r="37" spans="1:48" ht="31.5" x14ac:dyDescent="0.25">
      <c r="A37" s="118">
        <v>30</v>
      </c>
      <c r="B37" s="118">
        <v>281</v>
      </c>
      <c r="C37" s="118" t="s">
        <v>231</v>
      </c>
      <c r="D37" s="501"/>
      <c r="E37" s="118"/>
      <c r="F37" s="118"/>
      <c r="G37" s="118"/>
      <c r="H37" s="62" t="s">
        <v>244</v>
      </c>
      <c r="I37" s="118" t="s">
        <v>242</v>
      </c>
      <c r="J37" s="62" t="s">
        <v>243</v>
      </c>
      <c r="K37" s="12">
        <v>8123</v>
      </c>
      <c r="L37" s="118" t="s">
        <v>287</v>
      </c>
      <c r="M37" s="118">
        <v>12</v>
      </c>
      <c r="N37" s="303"/>
      <c r="O37" s="303"/>
      <c r="P37" s="12"/>
      <c r="Q37" s="303" t="str">
        <f>L37</f>
        <v>P1,P2, 1 to 9, Lroof</v>
      </c>
      <c r="R37" s="303">
        <f>M37</f>
        <v>12</v>
      </c>
      <c r="S37" s="110">
        <v>13382</v>
      </c>
      <c r="T37" s="360">
        <f t="shared" si="1"/>
        <v>13382</v>
      </c>
      <c r="U37" s="349"/>
      <c r="V37" s="12"/>
      <c r="W37" s="118"/>
      <c r="X37" s="118"/>
      <c r="Y37" s="118"/>
      <c r="Z37" s="118"/>
      <c r="AA37" s="118"/>
      <c r="AB37" s="118"/>
      <c r="AC37" s="118"/>
      <c r="AD37" s="118"/>
      <c r="AE37" s="320"/>
      <c r="AF37" s="30"/>
      <c r="AG37" s="213"/>
      <c r="AH37" s="213"/>
      <c r="AI37" s="150"/>
      <c r="AJ37" s="30"/>
      <c r="AK37" s="151"/>
      <c r="AL37" s="150"/>
      <c r="AM37" s="30"/>
      <c r="AN37" s="30"/>
      <c r="AO37" s="30"/>
      <c r="AP37" s="30"/>
      <c r="AQ37" s="30"/>
      <c r="AR37" s="151"/>
      <c r="AS37" s="150" t="s">
        <v>529</v>
      </c>
      <c r="AT37" s="162"/>
      <c r="AU37" s="162"/>
      <c r="AV37" s="143"/>
    </row>
    <row r="38" spans="1:48" ht="31.5" x14ac:dyDescent="0.25">
      <c r="A38" s="119">
        <v>31</v>
      </c>
      <c r="B38" s="119">
        <v>282</v>
      </c>
      <c r="C38" s="119" t="s">
        <v>232</v>
      </c>
      <c r="D38" s="502" t="s">
        <v>1554</v>
      </c>
      <c r="E38" s="119" t="s">
        <v>1554</v>
      </c>
      <c r="F38" s="409"/>
      <c r="G38" s="119"/>
      <c r="H38" s="117" t="s">
        <v>252</v>
      </c>
      <c r="I38" s="119">
        <v>2440220</v>
      </c>
      <c r="J38" s="117" t="s">
        <v>251</v>
      </c>
      <c r="K38" s="9">
        <f>376+405+235</f>
        <v>1016</v>
      </c>
      <c r="L38" s="119" t="s">
        <v>250</v>
      </c>
      <c r="M38" s="119">
        <v>3</v>
      </c>
      <c r="N38" s="304">
        <v>1</v>
      </c>
      <c r="O38" s="304">
        <v>1</v>
      </c>
      <c r="P38" s="306">
        <v>380</v>
      </c>
      <c r="Q38" s="304" t="s">
        <v>1219</v>
      </c>
      <c r="R38" s="304">
        <f>M38-O38</f>
        <v>2</v>
      </c>
      <c r="S38" s="294">
        <f>K38-P38</f>
        <v>636</v>
      </c>
      <c r="T38" s="360">
        <f t="shared" si="1"/>
        <v>1016</v>
      </c>
      <c r="U38" s="351"/>
      <c r="V38" s="9"/>
      <c r="W38" s="119"/>
      <c r="X38" s="119"/>
      <c r="Y38" s="119"/>
      <c r="Z38" s="119"/>
      <c r="AA38" s="119"/>
      <c r="AB38" s="119"/>
      <c r="AC38" s="119" t="s">
        <v>1438</v>
      </c>
      <c r="AD38" s="119"/>
      <c r="AE38" s="74"/>
      <c r="AF38" s="167">
        <v>1</v>
      </c>
      <c r="AG38" s="209"/>
      <c r="AH38" s="209"/>
      <c r="AI38" s="144"/>
      <c r="AJ38" s="7"/>
      <c r="AK38" s="145"/>
      <c r="AL38" s="144" t="s">
        <v>955</v>
      </c>
      <c r="AM38" s="7" t="s">
        <v>955</v>
      </c>
      <c r="AN38" s="7" t="s">
        <v>948</v>
      </c>
      <c r="AO38" s="7" t="s">
        <v>955</v>
      </c>
      <c r="AP38" s="7" t="s">
        <v>948</v>
      </c>
      <c r="AQ38" s="7" t="s">
        <v>948</v>
      </c>
      <c r="AR38" s="145">
        <v>0</v>
      </c>
      <c r="AS38" s="144"/>
      <c r="AT38" s="167"/>
      <c r="AU38" s="82">
        <v>46082</v>
      </c>
      <c r="AV38" s="143"/>
    </row>
    <row r="39" spans="1:48" ht="31.5" x14ac:dyDescent="0.25">
      <c r="A39" s="546">
        <v>32</v>
      </c>
      <c r="B39" s="546">
        <v>283</v>
      </c>
      <c r="C39" s="546" t="s">
        <v>245</v>
      </c>
      <c r="D39" s="501"/>
      <c r="E39" s="118"/>
      <c r="F39" s="118"/>
      <c r="G39" s="118"/>
      <c r="H39" s="62" t="s">
        <v>261</v>
      </c>
      <c r="I39" s="62" t="s">
        <v>249</v>
      </c>
      <c r="J39" s="62" t="s">
        <v>324</v>
      </c>
      <c r="K39" s="12">
        <v>1350</v>
      </c>
      <c r="L39" s="118" t="s">
        <v>246</v>
      </c>
      <c r="M39" s="118">
        <v>3</v>
      </c>
      <c r="N39" s="303"/>
      <c r="O39" s="303"/>
      <c r="P39" s="12"/>
      <c r="Q39" s="303" t="str">
        <f>L39</f>
        <v>GF, 1st, RF</v>
      </c>
      <c r="R39" s="303">
        <f>M39</f>
        <v>3</v>
      </c>
      <c r="S39" s="110">
        <v>1350</v>
      </c>
      <c r="T39" s="360">
        <f t="shared" si="1"/>
        <v>1350</v>
      </c>
      <c r="U39" s="349"/>
      <c r="V39" s="12"/>
      <c r="W39" s="118"/>
      <c r="X39" s="118"/>
      <c r="Y39" s="118"/>
      <c r="Z39" s="118"/>
      <c r="AA39" s="118"/>
      <c r="AB39" s="118"/>
      <c r="AC39" s="118"/>
      <c r="AD39" s="118"/>
      <c r="AE39" s="320"/>
      <c r="AF39" s="30"/>
      <c r="AG39" s="213"/>
      <c r="AH39" s="213"/>
      <c r="AI39" s="150"/>
      <c r="AJ39" s="30"/>
      <c r="AK39" s="151"/>
      <c r="AL39" s="150"/>
      <c r="AM39" s="30"/>
      <c r="AN39" s="30"/>
      <c r="AO39" s="30"/>
      <c r="AP39" s="30"/>
      <c r="AQ39" s="30"/>
      <c r="AR39" s="151"/>
      <c r="AS39" s="150" t="s">
        <v>529</v>
      </c>
      <c r="AT39" s="162"/>
      <c r="AU39" s="162"/>
      <c r="AV39" s="143"/>
    </row>
    <row r="40" spans="1:48" ht="31.5" x14ac:dyDescent="0.25">
      <c r="A40" s="546"/>
      <c r="B40" s="546"/>
      <c r="C40" s="546"/>
      <c r="D40" s="501"/>
      <c r="E40" s="118"/>
      <c r="F40" s="118"/>
      <c r="G40" s="118"/>
      <c r="H40" s="62" t="s">
        <v>262</v>
      </c>
      <c r="I40" s="118" t="s">
        <v>247</v>
      </c>
      <c r="J40" s="62" t="s">
        <v>325</v>
      </c>
      <c r="K40" s="12">
        <v>2087</v>
      </c>
      <c r="L40" s="118" t="s">
        <v>248</v>
      </c>
      <c r="M40" s="118">
        <v>4</v>
      </c>
      <c r="N40" s="303"/>
      <c r="O40" s="303"/>
      <c r="P40" s="12"/>
      <c r="Q40" s="303" t="str">
        <f>L40</f>
        <v>GF, 1st, RF, UR</v>
      </c>
      <c r="R40" s="303">
        <f>M40</f>
        <v>4</v>
      </c>
      <c r="S40" s="110">
        <v>2087</v>
      </c>
      <c r="T40" s="360">
        <f t="shared" si="1"/>
        <v>2087</v>
      </c>
      <c r="U40" s="349"/>
      <c r="V40" s="12"/>
      <c r="W40" s="118"/>
      <c r="X40" s="118"/>
      <c r="Y40" s="118"/>
      <c r="Z40" s="118"/>
      <c r="AA40" s="118"/>
      <c r="AB40" s="118"/>
      <c r="AC40" s="118"/>
      <c r="AD40" s="118"/>
      <c r="AE40" s="320"/>
      <c r="AF40" s="30"/>
      <c r="AG40" s="213"/>
      <c r="AH40" s="213"/>
      <c r="AI40" s="150"/>
      <c r="AJ40" s="30"/>
      <c r="AK40" s="151"/>
      <c r="AL40" s="150"/>
      <c r="AM40" s="30"/>
      <c r="AN40" s="30"/>
      <c r="AO40" s="30"/>
      <c r="AP40" s="30"/>
      <c r="AQ40" s="30"/>
      <c r="AR40" s="151"/>
      <c r="AS40" s="150" t="s">
        <v>529</v>
      </c>
      <c r="AT40" s="162"/>
      <c r="AU40" s="162"/>
      <c r="AV40" s="143"/>
    </row>
    <row r="41" spans="1:48" ht="15.75" x14ac:dyDescent="0.25">
      <c r="A41" s="118">
        <v>33</v>
      </c>
      <c r="B41" s="118">
        <v>284</v>
      </c>
      <c r="C41" s="118" t="s">
        <v>443</v>
      </c>
      <c r="D41" s="501" t="s">
        <v>1554</v>
      </c>
      <c r="E41" s="118" t="s">
        <v>347</v>
      </c>
      <c r="F41" s="118"/>
      <c r="G41" s="118"/>
      <c r="H41" s="62" t="s">
        <v>444</v>
      </c>
      <c r="I41" s="118">
        <v>6488529</v>
      </c>
      <c r="J41" s="62"/>
      <c r="K41" s="12">
        <v>35543</v>
      </c>
      <c r="L41" s="118" t="s">
        <v>451</v>
      </c>
      <c r="M41" s="118">
        <v>16</v>
      </c>
      <c r="N41" s="333"/>
      <c r="O41" s="303"/>
      <c r="P41" s="339"/>
      <c r="Q41" s="333" t="s">
        <v>451</v>
      </c>
      <c r="R41" s="333">
        <v>16</v>
      </c>
      <c r="S41" s="345">
        <v>35543</v>
      </c>
      <c r="T41" s="360">
        <f t="shared" si="1"/>
        <v>35543</v>
      </c>
      <c r="U41" s="349"/>
      <c r="V41" s="12"/>
      <c r="W41" s="118"/>
      <c r="X41" s="118"/>
      <c r="Y41" s="118"/>
      <c r="Z41" s="118"/>
      <c r="AA41" s="118"/>
      <c r="AB41" s="118"/>
      <c r="AC41" s="118"/>
      <c r="AD41" s="118"/>
      <c r="AE41" s="320"/>
      <c r="AF41" s="328"/>
      <c r="AG41" s="30"/>
      <c r="AH41" s="213"/>
      <c r="AI41" s="150"/>
      <c r="AJ41" s="30"/>
      <c r="AK41" s="151"/>
      <c r="AL41" s="150"/>
      <c r="AM41" s="30"/>
      <c r="AN41" s="30"/>
      <c r="AO41" s="30"/>
      <c r="AP41" s="30"/>
      <c r="AQ41" s="30"/>
      <c r="AR41" s="151"/>
      <c r="AS41" s="150" t="s">
        <v>529</v>
      </c>
      <c r="AT41" s="162"/>
      <c r="AU41" s="162"/>
      <c r="AV41" s="182">
        <v>46082</v>
      </c>
    </row>
    <row r="42" spans="1:48" ht="21.95" customHeight="1" x14ac:dyDescent="0.25">
      <c r="A42" s="118">
        <v>34</v>
      </c>
      <c r="B42" s="118">
        <v>285</v>
      </c>
      <c r="C42" s="118" t="s">
        <v>1276</v>
      </c>
      <c r="D42" s="501" t="s">
        <v>1084</v>
      </c>
      <c r="E42" s="118" t="s">
        <v>1091</v>
      </c>
      <c r="F42" s="118"/>
      <c r="G42" s="118"/>
      <c r="H42" s="51" t="s">
        <v>1279</v>
      </c>
      <c r="I42" s="118" t="s">
        <v>1278</v>
      </c>
      <c r="J42" s="62" t="s">
        <v>1277</v>
      </c>
      <c r="K42" s="12">
        <v>2372</v>
      </c>
      <c r="L42" s="118" t="s">
        <v>1280</v>
      </c>
      <c r="M42" s="118">
        <v>4</v>
      </c>
      <c r="N42" s="303"/>
      <c r="O42" s="303"/>
      <c r="P42" s="12"/>
      <c r="Q42" s="303" t="str">
        <f>L42</f>
        <v>GF, 1st, R, UR</v>
      </c>
      <c r="R42" s="303">
        <f>M42</f>
        <v>4</v>
      </c>
      <c r="S42" s="110">
        <v>1985</v>
      </c>
      <c r="T42" s="360">
        <f t="shared" si="1"/>
        <v>1985</v>
      </c>
      <c r="U42" s="349"/>
      <c r="V42" s="12"/>
      <c r="W42" s="118"/>
      <c r="X42" s="118"/>
      <c r="Y42" s="118"/>
      <c r="Z42" s="118"/>
      <c r="AA42" s="118"/>
      <c r="AB42" s="118"/>
      <c r="AC42" s="118"/>
      <c r="AD42" s="118"/>
      <c r="AE42" s="320"/>
      <c r="AF42" s="30"/>
      <c r="AG42" s="213"/>
      <c r="AH42" s="213"/>
      <c r="AI42" s="150"/>
      <c r="AJ42" s="30"/>
      <c r="AK42" s="151"/>
      <c r="AL42" s="150"/>
      <c r="AM42" s="30"/>
      <c r="AN42" s="30"/>
      <c r="AO42" s="30"/>
      <c r="AP42" s="30"/>
      <c r="AQ42" s="30"/>
      <c r="AR42" s="151"/>
      <c r="AS42" s="150" t="s">
        <v>529</v>
      </c>
      <c r="AT42" s="162"/>
      <c r="AU42" s="162"/>
      <c r="AV42" s="143"/>
    </row>
    <row r="43" spans="1:48" ht="34.5" customHeight="1" x14ac:dyDescent="0.25">
      <c r="A43" s="118">
        <v>35</v>
      </c>
      <c r="B43" s="118">
        <v>286</v>
      </c>
      <c r="C43" s="118" t="s">
        <v>445</v>
      </c>
      <c r="D43" s="501"/>
      <c r="E43" s="118"/>
      <c r="F43" s="118"/>
      <c r="G43" s="118"/>
      <c r="H43" s="62" t="s">
        <v>452</v>
      </c>
      <c r="I43" s="118" t="s">
        <v>1092</v>
      </c>
      <c r="J43" s="62" t="s">
        <v>266</v>
      </c>
      <c r="K43" s="12">
        <v>28467</v>
      </c>
      <c r="L43" s="118" t="s">
        <v>453</v>
      </c>
      <c r="M43" s="118">
        <v>15</v>
      </c>
      <c r="N43" s="303"/>
      <c r="O43" s="303"/>
      <c r="P43" s="12"/>
      <c r="Q43" s="303" t="str">
        <f>L43</f>
        <v>P1, P2, 1-12, R</v>
      </c>
      <c r="R43" s="303">
        <f>M43</f>
        <v>15</v>
      </c>
      <c r="S43" s="110">
        <v>28467</v>
      </c>
      <c r="T43" s="360">
        <f t="shared" si="1"/>
        <v>28467</v>
      </c>
      <c r="U43" s="349"/>
      <c r="V43" s="12"/>
      <c r="W43" s="118"/>
      <c r="X43" s="118"/>
      <c r="Y43" s="118"/>
      <c r="Z43" s="118"/>
      <c r="AA43" s="118"/>
      <c r="AB43" s="118"/>
      <c r="AC43" s="118"/>
      <c r="AD43" s="118"/>
      <c r="AE43" s="320"/>
      <c r="AF43" s="30"/>
      <c r="AG43" s="213"/>
      <c r="AH43" s="213"/>
      <c r="AI43" s="150"/>
      <c r="AJ43" s="30"/>
      <c r="AK43" s="151"/>
      <c r="AL43" s="150"/>
      <c r="AM43" s="30"/>
      <c r="AN43" s="30"/>
      <c r="AO43" s="30"/>
      <c r="AP43" s="30"/>
      <c r="AQ43" s="30"/>
      <c r="AR43" s="151"/>
      <c r="AS43" s="150" t="s">
        <v>529</v>
      </c>
      <c r="AT43" s="162"/>
      <c r="AU43" s="162"/>
      <c r="AV43" s="143"/>
    </row>
    <row r="44" spans="1:48" ht="37.5" customHeight="1" x14ac:dyDescent="0.25">
      <c r="A44" s="169">
        <v>36</v>
      </c>
      <c r="B44" s="169">
        <v>287</v>
      </c>
      <c r="C44" s="169" t="s">
        <v>442</v>
      </c>
      <c r="D44" s="502" t="s">
        <v>1084</v>
      </c>
      <c r="E44" s="218" t="s">
        <v>1091</v>
      </c>
      <c r="F44" s="270" t="s">
        <v>1175</v>
      </c>
      <c r="G44" s="169">
        <v>1</v>
      </c>
      <c r="H44" s="397" t="s">
        <v>446</v>
      </c>
      <c r="I44" s="169" t="s">
        <v>454</v>
      </c>
      <c r="J44" s="166" t="s">
        <v>455</v>
      </c>
      <c r="K44" s="163">
        <v>6368</v>
      </c>
      <c r="L44" s="169" t="s">
        <v>456</v>
      </c>
      <c r="M44" s="169">
        <v>5</v>
      </c>
      <c r="N44" s="304" t="s">
        <v>836</v>
      </c>
      <c r="O44" s="304">
        <v>2</v>
      </c>
      <c r="P44" s="306">
        <v>2527</v>
      </c>
      <c r="Q44" s="304" t="s">
        <v>1448</v>
      </c>
      <c r="R44" s="304">
        <f>M44-O44</f>
        <v>3</v>
      </c>
      <c r="S44" s="294">
        <f>K44-P44</f>
        <v>3841</v>
      </c>
      <c r="T44" s="360">
        <f t="shared" si="1"/>
        <v>6368</v>
      </c>
      <c r="U44" s="351"/>
      <c r="V44" s="163"/>
      <c r="W44" s="169"/>
      <c r="X44" s="169"/>
      <c r="Y44" s="169"/>
      <c r="Z44" s="169"/>
      <c r="AA44" s="169">
        <v>2</v>
      </c>
      <c r="AB44" s="169"/>
      <c r="AC44" s="169"/>
      <c r="AD44" s="169"/>
      <c r="AE44" s="74"/>
      <c r="AF44" s="167">
        <v>1</v>
      </c>
      <c r="AG44" s="209"/>
      <c r="AH44" s="209"/>
      <c r="AI44" s="144"/>
      <c r="AJ44" s="167"/>
      <c r="AK44" s="145"/>
      <c r="AL44" s="144" t="s">
        <v>955</v>
      </c>
      <c r="AM44" s="167"/>
      <c r="AN44" s="167"/>
      <c r="AO44" s="167"/>
      <c r="AP44" s="167"/>
      <c r="AQ44" s="167"/>
      <c r="AR44" s="145"/>
      <c r="AS44" s="144" t="s">
        <v>571</v>
      </c>
      <c r="AT44" s="167">
        <v>1</v>
      </c>
      <c r="AU44" s="167"/>
      <c r="AV44" s="183">
        <v>46058</v>
      </c>
    </row>
    <row r="45" spans="1:48" ht="30" customHeight="1" x14ac:dyDescent="0.25">
      <c r="A45" s="118">
        <v>37</v>
      </c>
      <c r="B45" s="118">
        <v>288</v>
      </c>
      <c r="C45" s="118" t="s">
        <v>447</v>
      </c>
      <c r="D45" s="501" t="s">
        <v>1554</v>
      </c>
      <c r="E45" s="118" t="s">
        <v>347</v>
      </c>
      <c r="F45" s="118"/>
      <c r="G45" s="118"/>
      <c r="H45" s="62" t="s">
        <v>457</v>
      </c>
      <c r="I45" s="118">
        <v>5310414</v>
      </c>
      <c r="J45" s="62" t="s">
        <v>459</v>
      </c>
      <c r="K45" s="12">
        <v>12501</v>
      </c>
      <c r="L45" s="118" t="s">
        <v>458</v>
      </c>
      <c r="M45" s="118">
        <v>8</v>
      </c>
      <c r="N45" s="333"/>
      <c r="O45" s="303"/>
      <c r="P45" s="339"/>
      <c r="Q45" s="333" t="s">
        <v>458</v>
      </c>
      <c r="R45" s="346">
        <v>8</v>
      </c>
      <c r="S45" s="345">
        <v>12501</v>
      </c>
      <c r="T45" s="360">
        <f t="shared" ref="T45:T103" si="3">P45+S45</f>
        <v>12501</v>
      </c>
      <c r="U45" s="349"/>
      <c r="V45" s="12"/>
      <c r="W45" s="118"/>
      <c r="X45" s="118"/>
      <c r="Y45" s="118"/>
      <c r="Z45" s="118"/>
      <c r="AA45" s="118"/>
      <c r="AB45" s="118"/>
      <c r="AC45" s="118"/>
      <c r="AD45" s="118"/>
      <c r="AE45" s="320"/>
      <c r="AF45" s="328"/>
      <c r="AG45" s="30"/>
      <c r="AH45" s="213"/>
      <c r="AI45" s="150"/>
      <c r="AJ45" s="30"/>
      <c r="AK45" s="151"/>
      <c r="AL45" s="150"/>
      <c r="AM45" s="30"/>
      <c r="AN45" s="30"/>
      <c r="AO45" s="30"/>
      <c r="AP45" s="30"/>
      <c r="AQ45" s="30"/>
      <c r="AR45" s="151"/>
      <c r="AS45" s="150" t="s">
        <v>529</v>
      </c>
      <c r="AT45" s="162"/>
      <c r="AU45" s="162"/>
      <c r="AV45" s="182">
        <v>46082</v>
      </c>
    </row>
    <row r="46" spans="1:48" ht="36" customHeight="1" x14ac:dyDescent="0.25">
      <c r="A46" s="30">
        <v>38</v>
      </c>
      <c r="B46" s="30">
        <v>289</v>
      </c>
      <c r="C46" s="30" t="s">
        <v>508</v>
      </c>
      <c r="D46" s="30"/>
      <c r="E46" s="30"/>
      <c r="F46" s="30" t="s">
        <v>502</v>
      </c>
      <c r="G46" s="30"/>
      <c r="H46" s="29" t="s">
        <v>509</v>
      </c>
      <c r="I46" s="118">
        <v>3323734</v>
      </c>
      <c r="J46" s="62" t="s">
        <v>460</v>
      </c>
      <c r="K46" s="12">
        <v>369</v>
      </c>
      <c r="L46" s="118" t="s">
        <v>461</v>
      </c>
      <c r="M46" s="118">
        <v>1</v>
      </c>
      <c r="N46" s="303"/>
      <c r="O46" s="303"/>
      <c r="P46" s="12"/>
      <c r="Q46" s="303" t="str">
        <f>L46</f>
        <v xml:space="preserve">1st </v>
      </c>
      <c r="R46" s="303">
        <f>M46</f>
        <v>1</v>
      </c>
      <c r="S46" s="110"/>
      <c r="T46" s="360">
        <f t="shared" si="3"/>
        <v>0</v>
      </c>
      <c r="U46" s="349"/>
      <c r="V46" s="12"/>
      <c r="W46" s="118"/>
      <c r="X46" s="118"/>
      <c r="Y46" s="118"/>
      <c r="Z46" s="118"/>
      <c r="AA46" s="118"/>
      <c r="AB46" s="118"/>
      <c r="AC46" s="118"/>
      <c r="AD46" s="118"/>
      <c r="AE46" s="320"/>
      <c r="AF46" s="30"/>
      <c r="AG46" s="213"/>
      <c r="AH46" s="213"/>
      <c r="AI46" s="150"/>
      <c r="AJ46" s="30"/>
      <c r="AK46" s="151"/>
      <c r="AL46" s="150"/>
      <c r="AM46" s="30"/>
      <c r="AN46" s="30"/>
      <c r="AO46" s="30"/>
      <c r="AP46" s="30"/>
      <c r="AQ46" s="30"/>
      <c r="AR46" s="151"/>
      <c r="AS46" s="150" t="s">
        <v>529</v>
      </c>
      <c r="AT46" s="162"/>
      <c r="AU46" s="162"/>
      <c r="AV46" s="143"/>
    </row>
    <row r="47" spans="1:48" ht="36" customHeight="1" x14ac:dyDescent="0.25">
      <c r="A47" s="30">
        <v>39</v>
      </c>
      <c r="B47" s="30">
        <v>291</v>
      </c>
      <c r="C47" s="30" t="s">
        <v>1238</v>
      </c>
      <c r="D47" s="30"/>
      <c r="E47" s="30"/>
      <c r="F47" s="30"/>
      <c r="G47" s="30"/>
      <c r="H47" s="29" t="s">
        <v>1239</v>
      </c>
      <c r="I47" s="361" t="s">
        <v>1240</v>
      </c>
      <c r="J47" s="62" t="s">
        <v>1241</v>
      </c>
      <c r="K47" s="12">
        <v>1227</v>
      </c>
      <c r="L47" s="361" t="s">
        <v>484</v>
      </c>
      <c r="M47" s="361">
        <v>2</v>
      </c>
      <c r="N47" s="361"/>
      <c r="O47" s="361"/>
      <c r="P47" s="12"/>
      <c r="Q47" s="361" t="str">
        <f>L47</f>
        <v>1st, 2nd</v>
      </c>
      <c r="R47" s="361">
        <f>M47-O47</f>
        <v>2</v>
      </c>
      <c r="S47" s="110">
        <f>K47-P47</f>
        <v>1227</v>
      </c>
      <c r="T47" s="360"/>
      <c r="U47" s="349"/>
      <c r="V47" s="12"/>
      <c r="W47" s="361"/>
      <c r="X47" s="361"/>
      <c r="Y47" s="361"/>
      <c r="Z47" s="361"/>
      <c r="AA47" s="361"/>
      <c r="AB47" s="361"/>
      <c r="AC47" s="361"/>
      <c r="AD47" s="361"/>
      <c r="AE47" s="320"/>
      <c r="AF47" s="30"/>
      <c r="AG47" s="213"/>
      <c r="AH47" s="213"/>
      <c r="AI47" s="150"/>
      <c r="AJ47" s="30"/>
      <c r="AK47" s="151"/>
      <c r="AL47" s="150"/>
      <c r="AM47" s="30"/>
      <c r="AN47" s="30"/>
      <c r="AO47" s="30"/>
      <c r="AP47" s="30"/>
      <c r="AQ47" s="30"/>
      <c r="AR47" s="151"/>
      <c r="AS47" s="150" t="s">
        <v>529</v>
      </c>
      <c r="AT47" s="362"/>
      <c r="AU47" s="362"/>
      <c r="AV47" s="143"/>
    </row>
    <row r="48" spans="1:48" ht="33.75" customHeight="1" x14ac:dyDescent="0.25">
      <c r="A48" s="30">
        <v>40</v>
      </c>
      <c r="B48" s="30">
        <v>292</v>
      </c>
      <c r="C48" s="30" t="s">
        <v>492</v>
      </c>
      <c r="D48" s="30"/>
      <c r="E48" s="30"/>
      <c r="F48" s="30"/>
      <c r="G48" s="30"/>
      <c r="H48" s="29" t="s">
        <v>512</v>
      </c>
      <c r="I48" s="118">
        <v>6727693</v>
      </c>
      <c r="J48" s="62" t="s">
        <v>513</v>
      </c>
      <c r="K48" s="12">
        <v>28863</v>
      </c>
      <c r="L48" s="118" t="s">
        <v>514</v>
      </c>
      <c r="M48" s="118">
        <v>23</v>
      </c>
      <c r="N48" s="303"/>
      <c r="O48" s="303"/>
      <c r="P48" s="12"/>
      <c r="Q48" s="303" t="s">
        <v>514</v>
      </c>
      <c r="R48" s="303">
        <f>M48-O48</f>
        <v>23</v>
      </c>
      <c r="S48" s="110">
        <v>28863</v>
      </c>
      <c r="T48" s="360">
        <f t="shared" si="3"/>
        <v>28863</v>
      </c>
      <c r="U48" s="349"/>
      <c r="V48" s="12"/>
      <c r="W48" s="118"/>
      <c r="X48" s="118"/>
      <c r="Y48" s="118"/>
      <c r="Z48" s="118"/>
      <c r="AA48" s="118"/>
      <c r="AB48" s="118"/>
      <c r="AC48" s="118"/>
      <c r="AD48" s="118"/>
      <c r="AE48" s="320"/>
      <c r="AF48" s="30"/>
      <c r="AG48" s="213"/>
      <c r="AH48" s="213"/>
      <c r="AI48" s="150"/>
      <c r="AJ48" s="30"/>
      <c r="AK48" s="151"/>
      <c r="AL48" s="150"/>
      <c r="AM48" s="30"/>
      <c r="AN48" s="30"/>
      <c r="AO48" s="30"/>
      <c r="AP48" s="30"/>
      <c r="AQ48" s="30"/>
      <c r="AR48" s="151"/>
      <c r="AS48" s="150" t="s">
        <v>529</v>
      </c>
      <c r="AT48" s="162"/>
      <c r="AU48" s="162"/>
      <c r="AV48" s="143"/>
    </row>
    <row r="49" spans="1:48" ht="31.5" x14ac:dyDescent="0.25">
      <c r="A49" s="7">
        <v>41</v>
      </c>
      <c r="B49" s="7">
        <v>295</v>
      </c>
      <c r="C49" s="7" t="s">
        <v>488</v>
      </c>
      <c r="D49" s="502" t="s">
        <v>1554</v>
      </c>
      <c r="E49" s="119" t="s">
        <v>347</v>
      </c>
      <c r="F49" s="268" t="s">
        <v>910</v>
      </c>
      <c r="G49" s="7">
        <v>1</v>
      </c>
      <c r="H49" s="49" t="s">
        <v>489</v>
      </c>
      <c r="I49" s="119" t="s">
        <v>490</v>
      </c>
      <c r="J49" s="117" t="s">
        <v>125</v>
      </c>
      <c r="K49" s="9">
        <v>39865</v>
      </c>
      <c r="L49" s="117" t="s">
        <v>1012</v>
      </c>
      <c r="M49" s="119">
        <v>39</v>
      </c>
      <c r="N49" s="310" t="s">
        <v>1298</v>
      </c>
      <c r="O49" s="304">
        <v>6</v>
      </c>
      <c r="P49" s="337">
        <v>12253</v>
      </c>
      <c r="Q49" s="310" t="s">
        <v>1299</v>
      </c>
      <c r="R49" s="316">
        <v>37</v>
      </c>
      <c r="S49" s="342">
        <f>K49-P49</f>
        <v>27612</v>
      </c>
      <c r="T49" s="360">
        <f t="shared" si="3"/>
        <v>39865</v>
      </c>
      <c r="U49" s="351"/>
      <c r="V49" s="9" t="s">
        <v>1304</v>
      </c>
      <c r="W49" s="119"/>
      <c r="X49" s="119" t="s">
        <v>1300</v>
      </c>
      <c r="Y49" s="250"/>
      <c r="Z49" s="187"/>
      <c r="AA49" s="119"/>
      <c r="AB49" s="199" t="s">
        <v>1301</v>
      </c>
      <c r="AC49" s="187"/>
      <c r="AD49" s="119" t="s">
        <v>1302</v>
      </c>
      <c r="AE49" s="74" t="s">
        <v>1235</v>
      </c>
      <c r="AF49" s="323" t="s">
        <v>1303</v>
      </c>
      <c r="AG49" s="167"/>
      <c r="AH49" s="209"/>
      <c r="AI49" s="144" t="s">
        <v>1019</v>
      </c>
      <c r="AJ49" s="7" t="s">
        <v>959</v>
      </c>
      <c r="AK49" s="145" t="s">
        <v>957</v>
      </c>
      <c r="AL49" s="136" t="s">
        <v>1020</v>
      </c>
      <c r="AM49" s="4" t="s">
        <v>945</v>
      </c>
      <c r="AN49" s="4" t="s">
        <v>959</v>
      </c>
      <c r="AO49" s="7" t="s">
        <v>955</v>
      </c>
      <c r="AP49" s="7" t="s">
        <v>948</v>
      </c>
      <c r="AQ49" s="4" t="s">
        <v>948</v>
      </c>
      <c r="AR49" s="139" t="s">
        <v>948</v>
      </c>
      <c r="AS49" s="144" t="s">
        <v>571</v>
      </c>
      <c r="AT49" s="162">
        <v>1</v>
      </c>
      <c r="AU49" s="162"/>
      <c r="AV49" s="184"/>
    </row>
    <row r="50" spans="1:48" ht="21.95" customHeight="1" x14ac:dyDescent="0.25">
      <c r="A50" s="30">
        <v>42</v>
      </c>
      <c r="B50" s="30">
        <v>296</v>
      </c>
      <c r="C50" s="30" t="s">
        <v>495</v>
      </c>
      <c r="D50" s="30"/>
      <c r="E50" s="118"/>
      <c r="F50" s="30" t="s">
        <v>502</v>
      </c>
      <c r="G50" s="30"/>
      <c r="H50" s="29" t="s">
        <v>496</v>
      </c>
      <c r="I50" s="118"/>
      <c r="J50" s="62"/>
      <c r="K50" s="12"/>
      <c r="L50" s="118"/>
      <c r="M50" s="118"/>
      <c r="N50" s="303"/>
      <c r="O50" s="303"/>
      <c r="P50" s="12"/>
      <c r="Q50" s="303"/>
      <c r="R50" s="303"/>
      <c r="S50" s="110"/>
      <c r="T50" s="360">
        <f t="shared" si="3"/>
        <v>0</v>
      </c>
      <c r="U50" s="349"/>
      <c r="V50" s="12"/>
      <c r="W50" s="118"/>
      <c r="X50" s="118"/>
      <c r="Y50" s="118"/>
      <c r="Z50" s="118"/>
      <c r="AA50" s="118"/>
      <c r="AB50" s="118"/>
      <c r="AC50" s="118"/>
      <c r="AD50" s="118"/>
      <c r="AE50" s="320"/>
      <c r="AF50" s="30"/>
      <c r="AG50" s="213"/>
      <c r="AH50" s="213"/>
      <c r="AI50" s="150"/>
      <c r="AJ50" s="30"/>
      <c r="AK50" s="151"/>
      <c r="AL50" s="150"/>
      <c r="AM50" s="30"/>
      <c r="AN50" s="30"/>
      <c r="AO50" s="30"/>
      <c r="AP50" s="30"/>
      <c r="AQ50" s="30"/>
      <c r="AR50" s="151"/>
      <c r="AS50" s="150" t="s">
        <v>212</v>
      </c>
      <c r="AT50" s="162"/>
      <c r="AU50" s="162"/>
      <c r="AV50" s="143"/>
    </row>
    <row r="51" spans="1:48" ht="21.95" customHeight="1" x14ac:dyDescent="0.25">
      <c r="A51" s="7">
        <v>43</v>
      </c>
      <c r="B51" s="7">
        <v>297</v>
      </c>
      <c r="C51" s="7" t="s">
        <v>497</v>
      </c>
      <c r="D51" s="502" t="s">
        <v>1554</v>
      </c>
      <c r="E51" s="287" t="s">
        <v>1554</v>
      </c>
      <c r="F51" s="7"/>
      <c r="G51" s="7"/>
      <c r="H51" s="54" t="s">
        <v>501</v>
      </c>
      <c r="I51" s="119">
        <v>6714172</v>
      </c>
      <c r="J51" s="117" t="s">
        <v>503</v>
      </c>
      <c r="K51" s="9">
        <f>535+585</f>
        <v>1120</v>
      </c>
      <c r="L51" s="119" t="s">
        <v>504</v>
      </c>
      <c r="M51" s="119">
        <v>2</v>
      </c>
      <c r="N51" s="304">
        <v>1</v>
      </c>
      <c r="O51" s="304">
        <v>1</v>
      </c>
      <c r="P51" s="306">
        <v>532</v>
      </c>
      <c r="Q51" s="304" t="s">
        <v>851</v>
      </c>
      <c r="R51" s="304">
        <v>1</v>
      </c>
      <c r="S51" s="294">
        <f>K51-P51</f>
        <v>588</v>
      </c>
      <c r="T51" s="360">
        <f t="shared" si="3"/>
        <v>1120</v>
      </c>
      <c r="U51" s="351"/>
      <c r="V51" s="9"/>
      <c r="W51" s="119"/>
      <c r="X51" s="119"/>
      <c r="Y51" s="119"/>
      <c r="Z51" s="119"/>
      <c r="AA51" s="119"/>
      <c r="AB51" s="119"/>
      <c r="AC51" s="119"/>
      <c r="AD51" s="119"/>
      <c r="AE51" s="74">
        <v>1</v>
      </c>
      <c r="AF51" s="167"/>
      <c r="AG51" s="209"/>
      <c r="AH51" s="209"/>
      <c r="AI51" s="144"/>
      <c r="AJ51" s="7"/>
      <c r="AK51" s="145"/>
      <c r="AL51" s="136" t="s">
        <v>945</v>
      </c>
      <c r="AM51" s="49" t="s">
        <v>945</v>
      </c>
      <c r="AN51" s="49" t="s">
        <v>945</v>
      </c>
      <c r="AO51" s="49" t="s">
        <v>945</v>
      </c>
      <c r="AP51" s="49" t="s">
        <v>945</v>
      </c>
      <c r="AQ51" s="49" t="s">
        <v>945</v>
      </c>
      <c r="AR51" s="137" t="s">
        <v>945</v>
      </c>
      <c r="AS51" s="144"/>
      <c r="AT51" s="167"/>
      <c r="AU51" s="82">
        <v>46054</v>
      </c>
      <c r="AV51" s="143"/>
    </row>
    <row r="52" spans="1:48" ht="21.95" customHeight="1" x14ac:dyDescent="0.25">
      <c r="A52" s="167">
        <v>44</v>
      </c>
      <c r="B52" s="167">
        <v>298</v>
      </c>
      <c r="C52" s="167" t="s">
        <v>498</v>
      </c>
      <c r="D52" s="502" t="s">
        <v>1084</v>
      </c>
      <c r="E52" s="279" t="s">
        <v>1090</v>
      </c>
      <c r="F52" s="167"/>
      <c r="G52" s="167"/>
      <c r="H52" s="49" t="s">
        <v>500</v>
      </c>
      <c r="I52" s="279">
        <v>1271337</v>
      </c>
      <c r="J52" s="278" t="s">
        <v>505</v>
      </c>
      <c r="K52" s="280">
        <f>12776+10563+10563+4439</f>
        <v>38341</v>
      </c>
      <c r="L52" s="279" t="s">
        <v>506</v>
      </c>
      <c r="M52" s="279">
        <v>4</v>
      </c>
      <c r="N52" s="312"/>
      <c r="O52" s="304"/>
      <c r="P52" s="313"/>
      <c r="Q52" s="312" t="s">
        <v>506</v>
      </c>
      <c r="R52" s="312">
        <v>4</v>
      </c>
      <c r="S52" s="341">
        <v>38341</v>
      </c>
      <c r="T52" s="360">
        <f t="shared" si="3"/>
        <v>38341</v>
      </c>
      <c r="U52" s="351"/>
      <c r="V52" s="280"/>
      <c r="W52" s="279"/>
      <c r="X52" s="279"/>
      <c r="Y52" s="424" t="s">
        <v>1508</v>
      </c>
      <c r="Z52" s="279"/>
      <c r="AA52" s="279"/>
      <c r="AB52" s="279"/>
      <c r="AC52" s="279" t="s">
        <v>1509</v>
      </c>
      <c r="AD52" s="424" t="s">
        <v>1509</v>
      </c>
      <c r="AE52" s="74"/>
      <c r="AF52" s="325"/>
      <c r="AG52" s="209"/>
      <c r="AH52" s="209"/>
      <c r="AI52" s="144"/>
      <c r="AJ52" s="167"/>
      <c r="AK52" s="145"/>
      <c r="AL52" s="144"/>
      <c r="AM52" s="167"/>
      <c r="AN52" s="167"/>
      <c r="AO52" s="167"/>
      <c r="AP52" s="167"/>
      <c r="AQ52" s="167"/>
      <c r="AR52" s="145"/>
      <c r="AS52" s="144" t="s">
        <v>571</v>
      </c>
      <c r="AT52" s="162">
        <v>1</v>
      </c>
      <c r="AU52" s="277">
        <v>46082</v>
      </c>
      <c r="AV52" s="143"/>
    </row>
    <row r="53" spans="1:48" s="66" customFormat="1" ht="21.95" customHeight="1" x14ac:dyDescent="0.25">
      <c r="A53" s="7">
        <v>45</v>
      </c>
      <c r="B53" s="7">
        <v>300</v>
      </c>
      <c r="C53" s="7" t="s">
        <v>499</v>
      </c>
      <c r="D53" s="502" t="s">
        <v>1084</v>
      </c>
      <c r="E53" s="119" t="s">
        <v>346</v>
      </c>
      <c r="F53" s="67"/>
      <c r="G53" s="7"/>
      <c r="H53" s="49" t="s">
        <v>604</v>
      </c>
      <c r="I53" s="119"/>
      <c r="J53" s="117" t="s">
        <v>640</v>
      </c>
      <c r="K53" s="9">
        <f>324+366+116</f>
        <v>806</v>
      </c>
      <c r="L53" s="119" t="s">
        <v>528</v>
      </c>
      <c r="M53" s="119">
        <v>3</v>
      </c>
      <c r="N53" s="312" t="s">
        <v>1230</v>
      </c>
      <c r="O53" s="304">
        <v>2</v>
      </c>
      <c r="P53" s="313">
        <v>723.66</v>
      </c>
      <c r="Q53" s="312" t="s">
        <v>1220</v>
      </c>
      <c r="R53" s="312">
        <f>M53-O53</f>
        <v>1</v>
      </c>
      <c r="S53" s="341">
        <f>K53-P53</f>
        <v>82.340000000000032</v>
      </c>
      <c r="T53" s="360">
        <f t="shared" si="3"/>
        <v>806</v>
      </c>
      <c r="U53" s="351"/>
      <c r="V53" s="9"/>
      <c r="W53" s="119"/>
      <c r="X53" s="119"/>
      <c r="Y53" s="119"/>
      <c r="Z53" s="119"/>
      <c r="AA53" s="119"/>
      <c r="AB53" s="119"/>
      <c r="AC53" s="119"/>
      <c r="AD53" s="119"/>
      <c r="AE53" s="74" t="s">
        <v>195</v>
      </c>
      <c r="AF53" s="325"/>
      <c r="AG53" s="209"/>
      <c r="AH53" s="209"/>
      <c r="AI53" s="144"/>
      <c r="AJ53" s="7"/>
      <c r="AK53" s="145"/>
      <c r="AL53" s="136" t="s">
        <v>945</v>
      </c>
      <c r="AM53" s="49" t="s">
        <v>945</v>
      </c>
      <c r="AN53" s="49" t="s">
        <v>945</v>
      </c>
      <c r="AO53" s="49" t="s">
        <v>945</v>
      </c>
      <c r="AP53" s="49" t="s">
        <v>945</v>
      </c>
      <c r="AQ53" s="49" t="s">
        <v>945</v>
      </c>
      <c r="AR53" s="137" t="s">
        <v>945</v>
      </c>
      <c r="AS53" s="144"/>
      <c r="AT53" s="167"/>
      <c r="AU53" s="165">
        <v>46054</v>
      </c>
      <c r="AV53" s="145"/>
    </row>
    <row r="54" spans="1:48" ht="21.95" customHeight="1" x14ac:dyDescent="0.25">
      <c r="A54" s="30">
        <v>46</v>
      </c>
      <c r="B54" s="30">
        <v>301</v>
      </c>
      <c r="C54" s="30" t="s">
        <v>538</v>
      </c>
      <c r="D54" s="30"/>
      <c r="E54" s="118"/>
      <c r="F54" s="30"/>
      <c r="G54" s="30"/>
      <c r="H54" s="29" t="s">
        <v>539</v>
      </c>
      <c r="I54" s="118" t="s">
        <v>566</v>
      </c>
      <c r="J54" s="62" t="s">
        <v>205</v>
      </c>
      <c r="K54" s="12">
        <v>6613</v>
      </c>
      <c r="L54" s="118" t="s">
        <v>567</v>
      </c>
      <c r="M54" s="118">
        <v>7</v>
      </c>
      <c r="N54" s="32"/>
      <c r="O54" s="303"/>
      <c r="P54" s="35"/>
      <c r="Q54" s="32"/>
      <c r="R54" s="32"/>
      <c r="S54" s="109"/>
      <c r="T54" s="360">
        <f t="shared" si="3"/>
        <v>0</v>
      </c>
      <c r="U54" s="349"/>
      <c r="V54" s="12"/>
      <c r="W54" s="118"/>
      <c r="X54" s="118"/>
      <c r="Y54" s="118"/>
      <c r="Z54" s="118"/>
      <c r="AA54" s="118"/>
      <c r="AB54" s="118"/>
      <c r="AC54" s="118"/>
      <c r="AD54" s="118"/>
      <c r="AE54" s="320"/>
      <c r="AF54" s="42"/>
      <c r="AG54" s="213"/>
      <c r="AH54" s="213"/>
      <c r="AI54" s="150"/>
      <c r="AJ54" s="30"/>
      <c r="AK54" s="151"/>
      <c r="AL54" s="150"/>
      <c r="AM54" s="30"/>
      <c r="AN54" s="30"/>
      <c r="AO54" s="30"/>
      <c r="AP54" s="30"/>
      <c r="AQ54" s="30"/>
      <c r="AR54" s="151"/>
      <c r="AS54" s="150" t="s">
        <v>529</v>
      </c>
      <c r="AT54" s="162"/>
      <c r="AU54" s="162"/>
      <c r="AV54" s="143"/>
    </row>
    <row r="55" spans="1:48" ht="30" x14ac:dyDescent="0.25">
      <c r="A55" s="7">
        <v>47</v>
      </c>
      <c r="B55" s="7">
        <v>302</v>
      </c>
      <c r="C55" s="7" t="s">
        <v>536</v>
      </c>
      <c r="D55" s="502" t="s">
        <v>1554</v>
      </c>
      <c r="E55" s="119" t="s">
        <v>345</v>
      </c>
      <c r="F55" s="275" t="s">
        <v>1181</v>
      </c>
      <c r="G55" s="7">
        <v>2</v>
      </c>
      <c r="H55" s="49" t="s">
        <v>537</v>
      </c>
      <c r="I55" s="119">
        <v>1010432</v>
      </c>
      <c r="J55" s="117" t="s">
        <v>266</v>
      </c>
      <c r="K55" s="9">
        <v>14896</v>
      </c>
      <c r="L55" s="119" t="s">
        <v>1089</v>
      </c>
      <c r="M55" s="119">
        <v>14</v>
      </c>
      <c r="N55" s="302" t="s">
        <v>1330</v>
      </c>
      <c r="O55" s="304">
        <v>8</v>
      </c>
      <c r="P55" s="393">
        <v>9910</v>
      </c>
      <c r="Q55" s="304" t="s">
        <v>1331</v>
      </c>
      <c r="R55" s="304">
        <f t="shared" ref="R55" si="4">M55-O55</f>
        <v>6</v>
      </c>
      <c r="S55" s="294">
        <f>K55-P55</f>
        <v>4986</v>
      </c>
      <c r="T55" s="360">
        <f t="shared" si="3"/>
        <v>14896</v>
      </c>
      <c r="U55" s="351"/>
      <c r="V55" s="9"/>
      <c r="W55" s="119"/>
      <c r="X55" s="119"/>
      <c r="Y55" s="119">
        <v>6</v>
      </c>
      <c r="Z55" s="119"/>
      <c r="AA55" s="119"/>
      <c r="AB55" s="224"/>
      <c r="AC55" s="117" t="s">
        <v>1332</v>
      </c>
      <c r="AD55" s="119" t="s">
        <v>1334</v>
      </c>
      <c r="AE55" s="74" t="s">
        <v>1333</v>
      </c>
      <c r="AF55" s="167" t="s">
        <v>1335</v>
      </c>
      <c r="AG55" s="167"/>
      <c r="AH55" s="77"/>
      <c r="AI55" s="144"/>
      <c r="AJ55" s="7"/>
      <c r="AK55" s="145"/>
      <c r="AL55" s="136" t="s">
        <v>1074</v>
      </c>
      <c r="AM55" s="49" t="s">
        <v>958</v>
      </c>
      <c r="AN55" s="49" t="s">
        <v>958</v>
      </c>
      <c r="AO55" s="49" t="s">
        <v>958</v>
      </c>
      <c r="AP55" s="49" t="s">
        <v>958</v>
      </c>
      <c r="AQ55" s="49" t="s">
        <v>958</v>
      </c>
      <c r="AR55" s="137" t="s">
        <v>958</v>
      </c>
      <c r="AS55" s="144" t="s">
        <v>571</v>
      </c>
      <c r="AT55" s="162">
        <v>1</v>
      </c>
      <c r="AU55" s="162"/>
      <c r="AV55" s="184">
        <v>46009</v>
      </c>
    </row>
    <row r="56" spans="1:48" s="66" customFormat="1" ht="21.95" customHeight="1" x14ac:dyDescent="0.25">
      <c r="A56" s="7">
        <v>48</v>
      </c>
      <c r="B56" s="7">
        <v>303</v>
      </c>
      <c r="C56" s="7" t="s">
        <v>535</v>
      </c>
      <c r="D56" s="502" t="s">
        <v>1084</v>
      </c>
      <c r="E56" s="224" t="s">
        <v>1084</v>
      </c>
      <c r="F56" s="268" t="s">
        <v>1172</v>
      </c>
      <c r="G56" s="7">
        <v>1</v>
      </c>
      <c r="H56" s="49" t="s">
        <v>1173</v>
      </c>
      <c r="I56" s="119">
        <v>6821286</v>
      </c>
      <c r="J56" s="117" t="s">
        <v>634</v>
      </c>
      <c r="K56" s="9">
        <v>15959</v>
      </c>
      <c r="L56" s="119" t="s">
        <v>568</v>
      </c>
      <c r="M56" s="119">
        <v>23</v>
      </c>
      <c r="N56" s="304" t="s">
        <v>1439</v>
      </c>
      <c r="O56" s="304">
        <v>3.3</v>
      </c>
      <c r="P56" s="306">
        <v>6300</v>
      </c>
      <c r="Q56" s="304" t="s">
        <v>1221</v>
      </c>
      <c r="R56" s="304">
        <f>M56-O56</f>
        <v>19.7</v>
      </c>
      <c r="S56" s="294">
        <f>K56-P56</f>
        <v>9659</v>
      </c>
      <c r="T56" s="360">
        <f t="shared" si="3"/>
        <v>15959</v>
      </c>
      <c r="U56" s="351"/>
      <c r="V56" s="9"/>
      <c r="W56" s="119"/>
      <c r="X56" s="119"/>
      <c r="Y56" s="119"/>
      <c r="Z56" s="200"/>
      <c r="AA56" s="119"/>
      <c r="AB56" s="224"/>
      <c r="AC56" s="119" t="s">
        <v>1440</v>
      </c>
      <c r="AD56" s="119"/>
      <c r="AE56" s="399" t="s">
        <v>1441</v>
      </c>
      <c r="AF56" s="167" t="s">
        <v>1442</v>
      </c>
      <c r="AG56" s="209"/>
      <c r="AH56" s="209"/>
      <c r="AI56" s="144"/>
      <c r="AJ56" s="7"/>
      <c r="AK56" s="145"/>
      <c r="AL56" s="136" t="s">
        <v>958</v>
      </c>
      <c r="AM56" s="49" t="s">
        <v>958</v>
      </c>
      <c r="AN56" s="49" t="s">
        <v>958</v>
      </c>
      <c r="AO56" s="49" t="s">
        <v>958</v>
      </c>
      <c r="AP56" s="49" t="s">
        <v>958</v>
      </c>
      <c r="AQ56" s="49" t="s">
        <v>958</v>
      </c>
      <c r="AR56" s="137" t="s">
        <v>958</v>
      </c>
      <c r="AS56" s="144" t="s">
        <v>571</v>
      </c>
      <c r="AT56" s="433">
        <v>1</v>
      </c>
      <c r="AU56" s="101">
        <v>46042</v>
      </c>
      <c r="AV56" s="145"/>
    </row>
    <row r="57" spans="1:48" ht="21.95" customHeight="1" x14ac:dyDescent="0.25">
      <c r="A57" s="30">
        <v>49</v>
      </c>
      <c r="B57" s="30">
        <v>304</v>
      </c>
      <c r="C57" s="30" t="s">
        <v>534</v>
      </c>
      <c r="D57" s="30"/>
      <c r="E57" s="118"/>
      <c r="F57" s="30" t="s">
        <v>502</v>
      </c>
      <c r="G57" s="30"/>
      <c r="H57" s="29" t="s">
        <v>540</v>
      </c>
      <c r="I57" s="118"/>
      <c r="J57" s="62"/>
      <c r="K57" s="12"/>
      <c r="L57" s="118"/>
      <c r="M57" s="118"/>
      <c r="N57" s="303"/>
      <c r="O57" s="303"/>
      <c r="P57" s="12"/>
      <c r="Q57" s="303"/>
      <c r="R57" s="303"/>
      <c r="S57" s="110"/>
      <c r="T57" s="360">
        <f t="shared" si="3"/>
        <v>0</v>
      </c>
      <c r="U57" s="349"/>
      <c r="V57" s="12"/>
      <c r="W57" s="118"/>
      <c r="X57" s="118"/>
      <c r="Y57" s="118"/>
      <c r="Z57" s="118"/>
      <c r="AA57" s="118"/>
      <c r="AB57" s="118"/>
      <c r="AC57" s="118"/>
      <c r="AD57" s="118"/>
      <c r="AE57" s="320"/>
      <c r="AF57" s="30"/>
      <c r="AG57" s="213"/>
      <c r="AH57" s="213"/>
      <c r="AI57" s="150"/>
      <c r="AJ57" s="30"/>
      <c r="AK57" s="151"/>
      <c r="AL57" s="150"/>
      <c r="AM57" s="30"/>
      <c r="AN57" s="30"/>
      <c r="AO57" s="30"/>
      <c r="AP57" s="30"/>
      <c r="AQ57" s="30"/>
      <c r="AR57" s="151"/>
      <c r="AS57" s="150" t="s">
        <v>212</v>
      </c>
      <c r="AT57" s="162"/>
      <c r="AU57" s="162"/>
      <c r="AV57" s="143"/>
    </row>
    <row r="58" spans="1:48" ht="21.95" customHeight="1" x14ac:dyDescent="0.25">
      <c r="A58" s="7">
        <v>50</v>
      </c>
      <c r="B58" s="30">
        <v>305</v>
      </c>
      <c r="C58" s="30" t="s">
        <v>530</v>
      </c>
      <c r="D58" s="30"/>
      <c r="E58" s="168"/>
      <c r="F58" s="172"/>
      <c r="G58" s="30"/>
      <c r="H58" s="29" t="s">
        <v>532</v>
      </c>
      <c r="I58" s="168" t="s">
        <v>541</v>
      </c>
      <c r="J58" s="62" t="s">
        <v>542</v>
      </c>
      <c r="K58" s="12">
        <v>7379</v>
      </c>
      <c r="L58" s="168" t="s">
        <v>543</v>
      </c>
      <c r="M58" s="168">
        <v>14</v>
      </c>
      <c r="N58" s="303"/>
      <c r="O58" s="303"/>
      <c r="P58" s="12"/>
      <c r="Q58" s="303"/>
      <c r="R58" s="303">
        <v>14</v>
      </c>
      <c r="S58" s="110">
        <v>7350</v>
      </c>
      <c r="T58" s="360">
        <f t="shared" si="3"/>
        <v>7350</v>
      </c>
      <c r="U58" s="349"/>
      <c r="V58" s="12"/>
      <c r="W58" s="173"/>
      <c r="X58" s="168"/>
      <c r="Y58" s="168"/>
      <c r="Z58" s="168"/>
      <c r="AA58" s="168"/>
      <c r="AB58" s="168"/>
      <c r="AC58" s="174"/>
      <c r="AD58" s="174"/>
      <c r="AE58" s="320"/>
      <c r="AF58" s="30"/>
      <c r="AG58" s="213"/>
      <c r="AH58" s="213"/>
      <c r="AI58" s="150"/>
      <c r="AJ58" s="30"/>
      <c r="AK58" s="151"/>
      <c r="AL58" s="150"/>
      <c r="AM58" s="30"/>
      <c r="AN58" s="30"/>
      <c r="AO58" s="30"/>
      <c r="AP58" s="30"/>
      <c r="AQ58" s="30"/>
      <c r="AR58" s="151"/>
      <c r="AS58" s="150" t="s">
        <v>529</v>
      </c>
      <c r="AT58" s="162"/>
      <c r="AU58" s="162"/>
      <c r="AV58" s="143"/>
    </row>
    <row r="59" spans="1:48" ht="31.5" x14ac:dyDescent="0.25">
      <c r="A59" s="48">
        <v>51</v>
      </c>
      <c r="B59" s="48">
        <v>306</v>
      </c>
      <c r="C59" s="48" t="s">
        <v>531</v>
      </c>
      <c r="D59" s="502" t="s">
        <v>1084</v>
      </c>
      <c r="E59" s="201" t="s">
        <v>1090</v>
      </c>
      <c r="F59" s="103"/>
      <c r="G59" s="48"/>
      <c r="H59" s="54" t="s">
        <v>533</v>
      </c>
      <c r="I59" s="19" t="s">
        <v>544</v>
      </c>
      <c r="J59" s="46" t="s">
        <v>546</v>
      </c>
      <c r="K59" s="50">
        <v>9221</v>
      </c>
      <c r="L59" s="19" t="s">
        <v>545</v>
      </c>
      <c r="M59" s="19">
        <v>16</v>
      </c>
      <c r="N59" s="312" t="s">
        <v>1231</v>
      </c>
      <c r="O59" s="19">
        <v>4</v>
      </c>
      <c r="P59" s="313">
        <v>2858.5</v>
      </c>
      <c r="Q59" s="312" t="s">
        <v>838</v>
      </c>
      <c r="R59" s="312">
        <v>12</v>
      </c>
      <c r="S59" s="341">
        <v>6900</v>
      </c>
      <c r="T59" s="360">
        <f t="shared" si="3"/>
        <v>9758.5</v>
      </c>
      <c r="U59" s="357"/>
      <c r="V59" s="50"/>
      <c r="W59" s="19"/>
      <c r="X59" s="19" t="s">
        <v>295</v>
      </c>
      <c r="Y59" s="19"/>
      <c r="Z59" s="19" t="s">
        <v>1510</v>
      </c>
      <c r="AA59" s="19"/>
      <c r="AB59" s="19"/>
      <c r="AC59" s="46" t="s">
        <v>1080</v>
      </c>
      <c r="AD59" s="46"/>
      <c r="AE59" s="314" t="s">
        <v>1511</v>
      </c>
      <c r="AF59" s="325"/>
      <c r="AG59" s="210"/>
      <c r="AH59" s="210"/>
      <c r="AI59" s="155"/>
      <c r="AJ59" s="48"/>
      <c r="AK59" s="156"/>
      <c r="AL59" s="144" t="s">
        <v>958</v>
      </c>
      <c r="AM59" s="7" t="s">
        <v>958</v>
      </c>
      <c r="AN59" s="7" t="s">
        <v>945</v>
      </c>
      <c r="AO59" s="7" t="s">
        <v>945</v>
      </c>
      <c r="AP59" s="7" t="s">
        <v>945</v>
      </c>
      <c r="AQ59" s="7" t="s">
        <v>945</v>
      </c>
      <c r="AR59" s="145" t="s">
        <v>945</v>
      </c>
      <c r="AS59" s="155" t="s">
        <v>571</v>
      </c>
      <c r="AT59" s="162">
        <v>1</v>
      </c>
      <c r="AU59" s="82">
        <v>46204</v>
      </c>
      <c r="AV59" s="143"/>
    </row>
    <row r="60" spans="1:48" ht="21.95" customHeight="1" x14ac:dyDescent="0.25">
      <c r="A60" s="30">
        <v>52</v>
      </c>
      <c r="B60" s="30">
        <v>307</v>
      </c>
      <c r="C60" s="30" t="s">
        <v>551</v>
      </c>
      <c r="D60" s="30"/>
      <c r="E60" s="118"/>
      <c r="F60" s="30"/>
      <c r="G60" s="30"/>
      <c r="H60" s="29" t="s">
        <v>561</v>
      </c>
      <c r="I60" s="118">
        <v>3260962</v>
      </c>
      <c r="J60" s="62" t="s">
        <v>562</v>
      </c>
      <c r="K60" s="12">
        <v>8870</v>
      </c>
      <c r="L60" s="118" t="s">
        <v>563</v>
      </c>
      <c r="M60" s="118">
        <v>13</v>
      </c>
      <c r="N60" s="303"/>
      <c r="O60" s="303"/>
      <c r="P60" s="12"/>
      <c r="Q60" s="303"/>
      <c r="R60" s="303">
        <f>M60-O60</f>
        <v>13</v>
      </c>
      <c r="S60" s="110">
        <v>8870</v>
      </c>
      <c r="T60" s="360">
        <f t="shared" si="3"/>
        <v>8870</v>
      </c>
      <c r="U60" s="349"/>
      <c r="V60" s="12"/>
      <c r="W60" s="118"/>
      <c r="X60" s="118"/>
      <c r="Y60" s="118"/>
      <c r="Z60" s="118"/>
      <c r="AA60" s="118"/>
      <c r="AB60" s="118"/>
      <c r="AC60" s="118"/>
      <c r="AD60" s="118"/>
      <c r="AE60" s="320"/>
      <c r="AF60" s="30"/>
      <c r="AG60" s="213"/>
      <c r="AH60" s="213"/>
      <c r="AI60" s="150"/>
      <c r="AJ60" s="30"/>
      <c r="AK60" s="151"/>
      <c r="AL60" s="150"/>
      <c r="AM60" s="30"/>
      <c r="AN60" s="30"/>
      <c r="AO60" s="30"/>
      <c r="AP60" s="30"/>
      <c r="AQ60" s="30"/>
      <c r="AR60" s="151"/>
      <c r="AS60" s="150" t="s">
        <v>529</v>
      </c>
      <c r="AT60" s="162"/>
      <c r="AU60" s="162"/>
      <c r="AV60" s="143"/>
    </row>
    <row r="61" spans="1:48" s="66" customFormat="1" ht="136.5" customHeight="1" x14ac:dyDescent="0.25">
      <c r="A61" s="7">
        <v>53</v>
      </c>
      <c r="B61" s="7">
        <v>309</v>
      </c>
      <c r="C61" s="7" t="s">
        <v>554</v>
      </c>
      <c r="D61" s="502" t="s">
        <v>1084</v>
      </c>
      <c r="E61" s="119" t="s">
        <v>346</v>
      </c>
      <c r="F61" s="269" t="s">
        <v>1182</v>
      </c>
      <c r="G61" s="7">
        <v>2</v>
      </c>
      <c r="H61" s="49" t="s">
        <v>555</v>
      </c>
      <c r="I61" s="119">
        <v>6730108</v>
      </c>
      <c r="J61" s="117" t="s">
        <v>391</v>
      </c>
      <c r="K61" s="9">
        <v>83755</v>
      </c>
      <c r="L61" s="119" t="s">
        <v>564</v>
      </c>
      <c r="M61" s="119">
        <v>21</v>
      </c>
      <c r="N61" s="414" t="s">
        <v>1384</v>
      </c>
      <c r="O61" s="304">
        <v>6</v>
      </c>
      <c r="P61" s="313">
        <v>38334</v>
      </c>
      <c r="Q61" s="310" t="s">
        <v>1222</v>
      </c>
      <c r="R61" s="312">
        <f>M61-O61</f>
        <v>15</v>
      </c>
      <c r="S61" s="341">
        <f>K61-P61</f>
        <v>45421</v>
      </c>
      <c r="T61" s="360">
        <f t="shared" si="3"/>
        <v>83755</v>
      </c>
      <c r="U61" s="351"/>
      <c r="V61" s="10"/>
      <c r="W61" s="117"/>
      <c r="X61" s="117"/>
      <c r="Y61" s="166"/>
      <c r="Z61" s="232"/>
      <c r="AA61" s="119"/>
      <c r="AB61" s="117"/>
      <c r="AC61" s="117"/>
      <c r="AD61" s="117"/>
      <c r="AE61" s="72" t="s">
        <v>1386</v>
      </c>
      <c r="AF61" s="323" t="s">
        <v>1385</v>
      </c>
      <c r="AG61" s="206"/>
      <c r="AH61" s="206"/>
      <c r="AI61" s="136"/>
      <c r="AJ61" s="49"/>
      <c r="AK61" s="137"/>
      <c r="AL61" s="136" t="s">
        <v>1031</v>
      </c>
      <c r="AM61" s="7" t="s">
        <v>958</v>
      </c>
      <c r="AN61" s="198" t="s">
        <v>1083</v>
      </c>
      <c r="AO61" s="7" t="s">
        <v>945</v>
      </c>
      <c r="AP61" s="7" t="s">
        <v>945</v>
      </c>
      <c r="AQ61" s="7" t="s">
        <v>945</v>
      </c>
      <c r="AR61" s="145" t="s">
        <v>945</v>
      </c>
      <c r="AS61" s="144" t="s">
        <v>571</v>
      </c>
      <c r="AT61" s="167">
        <v>1</v>
      </c>
      <c r="AU61" s="165">
        <v>46235</v>
      </c>
      <c r="AV61" s="145"/>
    </row>
    <row r="62" spans="1:48" ht="30" x14ac:dyDescent="0.25">
      <c r="A62" s="7">
        <v>54</v>
      </c>
      <c r="B62" s="7">
        <v>311</v>
      </c>
      <c r="C62" s="7" t="s">
        <v>578</v>
      </c>
      <c r="D62" s="502" t="s">
        <v>1084</v>
      </c>
      <c r="E62" s="201" t="s">
        <v>1090</v>
      </c>
      <c r="F62" s="269" t="s">
        <v>1198</v>
      </c>
      <c r="G62" s="7">
        <v>1</v>
      </c>
      <c r="H62" s="49" t="s">
        <v>602</v>
      </c>
      <c r="I62" s="119">
        <v>6488722</v>
      </c>
      <c r="J62" s="117" t="s">
        <v>658</v>
      </c>
      <c r="K62" s="9">
        <v>29133</v>
      </c>
      <c r="L62" s="119" t="s">
        <v>659</v>
      </c>
      <c r="M62" s="119">
        <v>25</v>
      </c>
      <c r="N62" s="312" t="s">
        <v>1232</v>
      </c>
      <c r="O62" s="304">
        <v>10</v>
      </c>
      <c r="P62" s="313">
        <v>15639.39</v>
      </c>
      <c r="Q62" s="312" t="s">
        <v>1223</v>
      </c>
      <c r="R62" s="312">
        <v>13</v>
      </c>
      <c r="S62" s="341">
        <v>11683.24</v>
      </c>
      <c r="T62" s="360">
        <f t="shared" si="3"/>
        <v>27322.629999999997</v>
      </c>
      <c r="U62" s="351"/>
      <c r="V62" s="9"/>
      <c r="W62" s="119"/>
      <c r="X62" s="119" t="s">
        <v>1513</v>
      </c>
      <c r="Y62" s="119"/>
      <c r="Z62" s="166"/>
      <c r="AA62" s="117"/>
      <c r="AB62" s="119"/>
      <c r="AC62" s="117" t="s">
        <v>1512</v>
      </c>
      <c r="AD62" s="117"/>
      <c r="AE62" s="72"/>
      <c r="AF62" s="72" t="s">
        <v>1514</v>
      </c>
      <c r="AG62" s="206"/>
      <c r="AH62" s="206"/>
      <c r="AI62" s="136"/>
      <c r="AJ62" s="49"/>
      <c r="AK62" s="137"/>
      <c r="AL62" s="136" t="s">
        <v>1039</v>
      </c>
      <c r="AM62" s="7" t="s">
        <v>958</v>
      </c>
      <c r="AN62" s="7" t="s">
        <v>945</v>
      </c>
      <c r="AO62" s="7" t="s">
        <v>945</v>
      </c>
      <c r="AP62" s="7" t="s">
        <v>945</v>
      </c>
      <c r="AQ62" s="7" t="s">
        <v>945</v>
      </c>
      <c r="AR62" s="145" t="s">
        <v>945</v>
      </c>
      <c r="AS62" s="144" t="s">
        <v>571</v>
      </c>
      <c r="AT62" s="162">
        <v>1</v>
      </c>
      <c r="AU62" s="165">
        <v>46204</v>
      </c>
      <c r="AV62" s="143"/>
    </row>
    <row r="63" spans="1:48" ht="63" x14ac:dyDescent="0.25">
      <c r="A63" s="7">
        <v>55</v>
      </c>
      <c r="B63" s="7">
        <v>313</v>
      </c>
      <c r="C63" s="7" t="s">
        <v>579</v>
      </c>
      <c r="D63" s="502" t="s">
        <v>1554</v>
      </c>
      <c r="E63" s="119" t="s">
        <v>345</v>
      </c>
      <c r="F63" s="268" t="s">
        <v>763</v>
      </c>
      <c r="G63" s="7">
        <v>1</v>
      </c>
      <c r="H63" s="49" t="s">
        <v>596</v>
      </c>
      <c r="I63" s="119">
        <v>6817403</v>
      </c>
      <c r="J63" s="117" t="s">
        <v>597</v>
      </c>
      <c r="K63" s="9">
        <v>36952</v>
      </c>
      <c r="L63" s="119" t="s">
        <v>598</v>
      </c>
      <c r="M63" s="119">
        <v>41</v>
      </c>
      <c r="N63" s="391" t="s">
        <v>1336</v>
      </c>
      <c r="O63" s="304">
        <v>3.5</v>
      </c>
      <c r="P63" s="393">
        <v>2749</v>
      </c>
      <c r="Q63" s="304" t="str">
        <f>L63</f>
        <v>P1-P5, 1-35, R</v>
      </c>
      <c r="R63" s="304">
        <f t="shared" ref="R63:R65" si="5">M63-O63</f>
        <v>37.5</v>
      </c>
      <c r="S63" s="294">
        <v>35290</v>
      </c>
      <c r="T63" s="360">
        <f t="shared" si="3"/>
        <v>38039</v>
      </c>
      <c r="U63" s="351"/>
      <c r="W63" s="119"/>
      <c r="X63" s="9" t="s">
        <v>1338</v>
      </c>
      <c r="Y63" s="259" t="s">
        <v>1337</v>
      </c>
      <c r="Z63" s="119"/>
      <c r="AA63" s="119"/>
      <c r="AB63" s="250" t="s">
        <v>1339</v>
      </c>
      <c r="AC63" s="258"/>
      <c r="AD63" s="119"/>
      <c r="AE63" s="74" t="s">
        <v>1340</v>
      </c>
      <c r="AF63" s="391" t="s">
        <v>1362</v>
      </c>
      <c r="AG63" s="167"/>
      <c r="AH63" s="209"/>
      <c r="AI63" s="144"/>
      <c r="AJ63" s="7"/>
      <c r="AK63" s="145"/>
      <c r="AL63" s="136"/>
      <c r="AM63" s="49"/>
      <c r="AN63" s="49"/>
      <c r="AO63" s="49"/>
      <c r="AP63" s="49"/>
      <c r="AQ63" s="49"/>
      <c r="AR63" s="137"/>
      <c r="AS63" s="144" t="s">
        <v>571</v>
      </c>
      <c r="AT63" s="162">
        <v>1</v>
      </c>
      <c r="AU63" s="162"/>
      <c r="AV63" s="182" t="s">
        <v>845</v>
      </c>
    </row>
    <row r="64" spans="1:48" s="66" customFormat="1" ht="21.95" customHeight="1" x14ac:dyDescent="0.25">
      <c r="A64" s="7">
        <v>56</v>
      </c>
      <c r="B64" s="7">
        <v>314</v>
      </c>
      <c r="C64" s="7" t="s">
        <v>583</v>
      </c>
      <c r="D64" s="502" t="s">
        <v>1554</v>
      </c>
      <c r="E64" s="119" t="s">
        <v>1556</v>
      </c>
      <c r="F64" s="269" t="s">
        <v>829</v>
      </c>
      <c r="G64" s="7">
        <v>1</v>
      </c>
      <c r="H64" s="49" t="s">
        <v>593</v>
      </c>
      <c r="I64" s="119" t="s">
        <v>594</v>
      </c>
      <c r="J64" s="117" t="s">
        <v>587</v>
      </c>
      <c r="K64" s="9">
        <v>9553</v>
      </c>
      <c r="L64" s="119" t="s">
        <v>595</v>
      </c>
      <c r="M64" s="119">
        <v>7</v>
      </c>
      <c r="N64" s="310" t="s">
        <v>1145</v>
      </c>
      <c r="O64" s="304">
        <v>6</v>
      </c>
      <c r="P64" s="337">
        <v>8633</v>
      </c>
      <c r="Q64" s="310" t="s">
        <v>865</v>
      </c>
      <c r="R64" s="316">
        <v>1</v>
      </c>
      <c r="S64" s="342">
        <v>920</v>
      </c>
      <c r="T64" s="360">
        <f t="shared" si="3"/>
        <v>9553</v>
      </c>
      <c r="U64" s="351"/>
      <c r="V64" s="9"/>
      <c r="W64" s="119"/>
      <c r="X64" s="119"/>
      <c r="Y64" s="119"/>
      <c r="Z64" s="119"/>
      <c r="AA64" s="119"/>
      <c r="AB64" s="119"/>
      <c r="AC64" s="119"/>
      <c r="AD64" s="7"/>
      <c r="AE64" s="74" t="s">
        <v>1305</v>
      </c>
      <c r="AF64" s="323"/>
      <c r="AG64" s="49"/>
      <c r="AH64" s="206"/>
      <c r="AI64" s="144" t="s">
        <v>948</v>
      </c>
      <c r="AJ64" s="7" t="s">
        <v>960</v>
      </c>
      <c r="AK64" s="145" t="s">
        <v>957</v>
      </c>
      <c r="AL64" s="144" t="s">
        <v>1021</v>
      </c>
      <c r="AM64" s="4" t="s">
        <v>945</v>
      </c>
      <c r="AN64" s="4" t="s">
        <v>945</v>
      </c>
      <c r="AO64" s="7">
        <v>3</v>
      </c>
      <c r="AP64" s="7" t="s">
        <v>948</v>
      </c>
      <c r="AQ64" s="7" t="s">
        <v>948</v>
      </c>
      <c r="AR64" s="145" t="s">
        <v>948</v>
      </c>
      <c r="AS64" s="144" t="s">
        <v>611</v>
      </c>
      <c r="AT64" s="167">
        <v>1</v>
      </c>
      <c r="AU64" s="165">
        <v>46113</v>
      </c>
      <c r="AV64" s="145"/>
    </row>
    <row r="65" spans="1:48" ht="21.95" customHeight="1" x14ac:dyDescent="0.25">
      <c r="A65" s="42">
        <v>57</v>
      </c>
      <c r="B65" s="42">
        <v>315</v>
      </c>
      <c r="C65" s="42" t="s">
        <v>580</v>
      </c>
      <c r="D65" s="42"/>
      <c r="E65" s="32"/>
      <c r="F65" s="42" t="s">
        <v>665</v>
      </c>
      <c r="G65" s="42"/>
      <c r="H65" s="60" t="s">
        <v>590</v>
      </c>
      <c r="I65" s="32">
        <v>1010337</v>
      </c>
      <c r="J65" s="33" t="s">
        <v>591</v>
      </c>
      <c r="K65" s="35">
        <v>22981</v>
      </c>
      <c r="L65" s="32" t="s">
        <v>592</v>
      </c>
      <c r="M65" s="32">
        <v>15</v>
      </c>
      <c r="N65" s="32"/>
      <c r="O65" s="32"/>
      <c r="P65" s="35"/>
      <c r="Q65" s="32" t="str">
        <f>L65</f>
        <v>P1, P2, 1-12, LR</v>
      </c>
      <c r="R65" s="32">
        <f t="shared" si="5"/>
        <v>15</v>
      </c>
      <c r="S65" s="109"/>
      <c r="T65" s="360">
        <f t="shared" si="3"/>
        <v>0</v>
      </c>
      <c r="U65" s="354"/>
      <c r="V65" s="35"/>
      <c r="W65" s="32"/>
      <c r="X65" s="32"/>
      <c r="Y65" s="32"/>
      <c r="Z65" s="32"/>
      <c r="AA65" s="32"/>
      <c r="AB65" s="32"/>
      <c r="AC65" s="32"/>
      <c r="AD65" s="32"/>
      <c r="AE65" s="317"/>
      <c r="AF65" s="42"/>
      <c r="AG65" s="212"/>
      <c r="AH65" s="212"/>
      <c r="AI65" s="147"/>
      <c r="AJ65" s="42"/>
      <c r="AK65" s="148"/>
      <c r="AL65" s="147"/>
      <c r="AM65" s="42"/>
      <c r="AN65" s="42"/>
      <c r="AO65" s="42"/>
      <c r="AP65" s="42"/>
      <c r="AQ65" s="42"/>
      <c r="AR65" s="148"/>
      <c r="AS65" s="147" t="s">
        <v>529</v>
      </c>
      <c r="AT65" s="162"/>
      <c r="AU65" s="162"/>
      <c r="AV65" s="143"/>
    </row>
    <row r="66" spans="1:48" ht="21.95" customHeight="1" x14ac:dyDescent="0.25">
      <c r="A66" s="7">
        <v>58</v>
      </c>
      <c r="B66" s="7">
        <v>317</v>
      </c>
      <c r="C66" s="7" t="s">
        <v>581</v>
      </c>
      <c r="D66" s="502" t="s">
        <v>1554</v>
      </c>
      <c r="E66" s="119" t="s">
        <v>347</v>
      </c>
      <c r="F66" s="268" t="s">
        <v>610</v>
      </c>
      <c r="G66" s="7">
        <v>1</v>
      </c>
      <c r="H66" s="49" t="s">
        <v>584</v>
      </c>
      <c r="I66" s="119" t="s">
        <v>585</v>
      </c>
      <c r="J66" s="117" t="s">
        <v>587</v>
      </c>
      <c r="K66" s="9">
        <v>10393</v>
      </c>
      <c r="L66" s="119" t="s">
        <v>586</v>
      </c>
      <c r="M66" s="119">
        <v>8</v>
      </c>
      <c r="N66" s="310" t="s">
        <v>1306</v>
      </c>
      <c r="O66" s="304">
        <v>4</v>
      </c>
      <c r="P66" s="337">
        <v>4928</v>
      </c>
      <c r="Q66" s="310" t="s">
        <v>1309</v>
      </c>
      <c r="R66" s="316">
        <f>M66-O66</f>
        <v>4</v>
      </c>
      <c r="S66" s="342">
        <f>K66-P66</f>
        <v>5465</v>
      </c>
      <c r="T66" s="360">
        <f t="shared" si="3"/>
        <v>10393</v>
      </c>
      <c r="U66" s="351"/>
      <c r="V66" s="9"/>
      <c r="X66" s="197"/>
      <c r="Y66" s="238"/>
      <c r="Z66" s="119"/>
      <c r="AA66" s="119" t="s">
        <v>1310</v>
      </c>
      <c r="AB66" s="119"/>
      <c r="AC66" s="80" t="s">
        <v>1311</v>
      </c>
      <c r="AD66" s="119" t="s">
        <v>1312</v>
      </c>
      <c r="AE66" s="74" t="s">
        <v>839</v>
      </c>
      <c r="AF66" s="323"/>
      <c r="AG66" s="167"/>
      <c r="AH66" s="209"/>
      <c r="AI66" s="144"/>
      <c r="AJ66" s="7"/>
      <c r="AK66" s="145"/>
      <c r="AL66" s="144"/>
      <c r="AM66" s="4" t="s">
        <v>945</v>
      </c>
      <c r="AN66" s="4" t="s">
        <v>945</v>
      </c>
      <c r="AO66" s="7" t="s">
        <v>955</v>
      </c>
      <c r="AP66" s="7" t="s">
        <v>948</v>
      </c>
      <c r="AQ66" s="7" t="s">
        <v>948</v>
      </c>
      <c r="AR66" s="145" t="s">
        <v>948</v>
      </c>
      <c r="AS66" s="144" t="s">
        <v>571</v>
      </c>
      <c r="AT66" s="167">
        <v>1</v>
      </c>
      <c r="AU66" s="167"/>
      <c r="AV66" s="182" t="s">
        <v>845</v>
      </c>
    </row>
    <row r="67" spans="1:48" ht="21.95" customHeight="1" x14ac:dyDescent="0.25">
      <c r="A67" s="30">
        <v>59</v>
      </c>
      <c r="B67" s="30">
        <v>318</v>
      </c>
      <c r="C67" s="30" t="s">
        <v>627</v>
      </c>
      <c r="D67" s="30"/>
      <c r="E67" s="118"/>
      <c r="F67" s="30" t="s">
        <v>502</v>
      </c>
      <c r="G67" s="30"/>
      <c r="H67" s="30" t="s">
        <v>628</v>
      </c>
      <c r="I67" s="118"/>
      <c r="J67" s="30"/>
      <c r="K67" s="12"/>
      <c r="L67" s="118"/>
      <c r="M67" s="118"/>
      <c r="N67" s="303"/>
      <c r="O67" s="303"/>
      <c r="P67" s="12"/>
      <c r="Q67" s="303"/>
      <c r="R67" s="303"/>
      <c r="S67" s="110"/>
      <c r="T67" s="360">
        <f t="shared" si="3"/>
        <v>0</v>
      </c>
      <c r="U67" s="349"/>
      <c r="V67" s="12"/>
      <c r="W67" s="118"/>
      <c r="X67" s="118"/>
      <c r="Y67" s="118"/>
      <c r="Z67" s="118"/>
      <c r="AA67" s="118"/>
      <c r="AB67" s="118"/>
      <c r="AC67" s="118"/>
      <c r="AD67" s="118"/>
      <c r="AE67" s="320"/>
      <c r="AF67" s="30"/>
      <c r="AG67" s="213"/>
      <c r="AH67" s="213"/>
      <c r="AI67" s="150"/>
      <c r="AJ67" s="30"/>
      <c r="AK67" s="151"/>
      <c r="AL67" s="150"/>
      <c r="AM67" s="30"/>
      <c r="AN67" s="30"/>
      <c r="AO67" s="30"/>
      <c r="AP67" s="30"/>
      <c r="AQ67" s="30"/>
      <c r="AR67" s="151"/>
      <c r="AS67" s="150"/>
      <c r="AT67" s="162"/>
      <c r="AU67" s="162"/>
      <c r="AV67" s="143"/>
    </row>
    <row r="68" spans="1:48" ht="30" x14ac:dyDescent="0.25">
      <c r="A68" s="7">
        <v>60</v>
      </c>
      <c r="B68" s="7">
        <v>319</v>
      </c>
      <c r="C68" s="7" t="s">
        <v>626</v>
      </c>
      <c r="D68" s="502" t="s">
        <v>1554</v>
      </c>
      <c r="E68" s="216" t="s">
        <v>345</v>
      </c>
      <c r="F68" s="269" t="s">
        <v>1189</v>
      </c>
      <c r="G68" s="7">
        <v>2</v>
      </c>
      <c r="H68" s="54" t="s">
        <v>625</v>
      </c>
      <c r="I68" s="119"/>
      <c r="J68" s="117" t="s">
        <v>660</v>
      </c>
      <c r="K68" s="9">
        <v>31638</v>
      </c>
      <c r="L68" s="119" t="s">
        <v>195</v>
      </c>
      <c r="M68" s="119">
        <v>2</v>
      </c>
      <c r="N68" s="304" t="s">
        <v>1341</v>
      </c>
      <c r="O68" s="304">
        <v>0.5</v>
      </c>
      <c r="P68" s="306">
        <v>8099</v>
      </c>
      <c r="Q68" s="304"/>
      <c r="R68" s="304">
        <f>M68-O68</f>
        <v>1.5</v>
      </c>
      <c r="S68" s="294">
        <f>K68-P68</f>
        <v>23539</v>
      </c>
      <c r="T68" s="360">
        <f t="shared" si="3"/>
        <v>31638</v>
      </c>
      <c r="U68" s="351"/>
      <c r="V68" s="9"/>
      <c r="W68" s="119"/>
      <c r="X68" s="250"/>
      <c r="Y68" s="119" t="s">
        <v>1342</v>
      </c>
      <c r="Z68" s="119"/>
      <c r="AA68" s="119"/>
      <c r="AB68" s="119"/>
      <c r="AC68" s="119" t="s">
        <v>1343</v>
      </c>
      <c r="AD68" s="119" t="s">
        <v>1344</v>
      </c>
      <c r="AE68" s="74" t="s">
        <v>1338</v>
      </c>
      <c r="AF68" s="167"/>
      <c r="AG68" s="167"/>
      <c r="AH68" s="209"/>
      <c r="AI68" s="144"/>
      <c r="AJ68" s="7"/>
      <c r="AK68" s="145"/>
      <c r="AL68" s="136"/>
      <c r="AM68" s="49"/>
      <c r="AN68" s="49" t="s">
        <v>958</v>
      </c>
      <c r="AO68" s="49" t="s">
        <v>958</v>
      </c>
      <c r="AP68" s="49" t="s">
        <v>958</v>
      </c>
      <c r="AQ68" s="49" t="s">
        <v>958</v>
      </c>
      <c r="AR68" s="136" t="s">
        <v>1036</v>
      </c>
      <c r="AS68" s="144" t="s">
        <v>571</v>
      </c>
      <c r="AT68" s="167">
        <v>1</v>
      </c>
      <c r="AU68" s="162"/>
      <c r="AV68" s="184">
        <v>46047</v>
      </c>
    </row>
    <row r="69" spans="1:48" ht="30" x14ac:dyDescent="0.25">
      <c r="A69" s="7">
        <v>61</v>
      </c>
      <c r="B69" s="7">
        <v>320</v>
      </c>
      <c r="C69" s="7" t="s">
        <v>873</v>
      </c>
      <c r="D69" s="502" t="s">
        <v>1084</v>
      </c>
      <c r="E69" s="201" t="s">
        <v>1084</v>
      </c>
      <c r="F69" s="269" t="s">
        <v>1176</v>
      </c>
      <c r="G69" s="7">
        <v>1</v>
      </c>
      <c r="H69" s="49" t="s">
        <v>872</v>
      </c>
      <c r="I69" s="119">
        <v>3121</v>
      </c>
      <c r="J69" s="117" t="s">
        <v>624</v>
      </c>
      <c r="K69" s="9">
        <f>989+949</f>
        <v>1938</v>
      </c>
      <c r="L69" s="119" t="s">
        <v>353</v>
      </c>
      <c r="M69" s="119">
        <v>2</v>
      </c>
      <c r="N69" s="304">
        <v>1</v>
      </c>
      <c r="O69" s="304">
        <v>1</v>
      </c>
      <c r="P69" s="306">
        <v>989</v>
      </c>
      <c r="Q69" s="304" t="s">
        <v>186</v>
      </c>
      <c r="R69" s="304">
        <f>M69-O69</f>
        <v>1</v>
      </c>
      <c r="S69" s="294">
        <f>K69-P69</f>
        <v>949</v>
      </c>
      <c r="T69" s="360">
        <f t="shared" si="3"/>
        <v>1938</v>
      </c>
      <c r="U69" s="351"/>
      <c r="V69" s="9"/>
      <c r="W69" s="119"/>
      <c r="X69" s="119"/>
      <c r="Y69" s="119"/>
      <c r="Z69" s="119"/>
      <c r="AA69" s="119"/>
      <c r="AB69" s="119"/>
      <c r="AC69" s="119" t="s">
        <v>1438</v>
      </c>
      <c r="AD69" s="119" t="s">
        <v>1443</v>
      </c>
      <c r="AE69" s="74"/>
      <c r="AF69" s="167"/>
      <c r="AG69" s="209"/>
      <c r="AH69" s="209"/>
      <c r="AI69" s="144"/>
      <c r="AJ69" s="7"/>
      <c r="AK69" s="145"/>
      <c r="AL69" s="144" t="s">
        <v>945</v>
      </c>
      <c r="AM69" s="7"/>
      <c r="AN69" s="7"/>
      <c r="AO69" s="7"/>
      <c r="AP69" s="7"/>
      <c r="AQ69" s="7"/>
      <c r="AR69" s="145"/>
      <c r="AS69" s="144" t="s">
        <v>571</v>
      </c>
      <c r="AT69" s="167">
        <v>1</v>
      </c>
      <c r="AU69" s="167"/>
      <c r="AV69" s="185">
        <v>46047</v>
      </c>
    </row>
    <row r="70" spans="1:48" ht="21.95" customHeight="1" x14ac:dyDescent="0.25">
      <c r="A70" s="167">
        <v>62</v>
      </c>
      <c r="B70" s="167">
        <v>321</v>
      </c>
      <c r="C70" s="167" t="s">
        <v>1133</v>
      </c>
      <c r="D70" s="502" t="s">
        <v>1084</v>
      </c>
      <c r="E70" s="230" t="s">
        <v>346</v>
      </c>
      <c r="F70" s="167"/>
      <c r="G70" s="167"/>
      <c r="H70" s="49" t="s">
        <v>623</v>
      </c>
      <c r="I70" s="230">
        <v>6489154</v>
      </c>
      <c r="J70" s="229" t="s">
        <v>1132</v>
      </c>
      <c r="K70" s="231">
        <v>1679</v>
      </c>
      <c r="L70" s="230" t="s">
        <v>1417</v>
      </c>
      <c r="M70" s="230">
        <v>4</v>
      </c>
      <c r="N70" s="312" t="s">
        <v>1387</v>
      </c>
      <c r="O70" s="304">
        <v>2</v>
      </c>
      <c r="P70" s="313">
        <v>860</v>
      </c>
      <c r="Q70" s="312" t="s">
        <v>1388</v>
      </c>
      <c r="R70" s="312">
        <f>M70-O70</f>
        <v>2</v>
      </c>
      <c r="S70" s="341">
        <f>K70-P70</f>
        <v>819</v>
      </c>
      <c r="T70" s="360">
        <f t="shared" si="3"/>
        <v>1679</v>
      </c>
      <c r="U70" s="351"/>
      <c r="V70" s="231"/>
      <c r="W70" s="230"/>
      <c r="X70" s="230"/>
      <c r="Y70" s="230"/>
      <c r="Z70" s="230"/>
      <c r="AA70" s="230"/>
      <c r="AB70" s="230"/>
      <c r="AC70" s="230"/>
      <c r="AD70" s="230"/>
      <c r="AE70" s="74">
        <v>1</v>
      </c>
      <c r="AF70" s="325" t="s">
        <v>961</v>
      </c>
      <c r="AG70" s="209"/>
      <c r="AH70" s="209"/>
      <c r="AI70" s="144"/>
      <c r="AJ70" s="167"/>
      <c r="AK70" s="145"/>
      <c r="AL70" s="144"/>
      <c r="AM70" s="167"/>
      <c r="AN70" s="167"/>
      <c r="AO70" s="167"/>
      <c r="AP70" s="167"/>
      <c r="AQ70" s="167"/>
      <c r="AR70" s="145"/>
      <c r="AS70" s="144" t="s">
        <v>571</v>
      </c>
      <c r="AT70" s="167">
        <v>1</v>
      </c>
      <c r="AU70" s="167"/>
      <c r="AV70" s="145"/>
    </row>
    <row r="71" spans="1:48" ht="21.95" customHeight="1" x14ac:dyDescent="0.25">
      <c r="A71" s="30">
        <v>63</v>
      </c>
      <c r="B71" s="30">
        <v>322</v>
      </c>
      <c r="C71" s="30" t="s">
        <v>618</v>
      </c>
      <c r="D71" s="30"/>
      <c r="E71" s="118"/>
      <c r="F71" s="30"/>
      <c r="G71" s="30"/>
      <c r="H71" s="29" t="s">
        <v>619</v>
      </c>
      <c r="I71" s="118" t="s">
        <v>621</v>
      </c>
      <c r="J71" s="62" t="s">
        <v>622</v>
      </c>
      <c r="K71" s="12">
        <f>323+326+231</f>
        <v>880</v>
      </c>
      <c r="L71" s="118" t="s">
        <v>620</v>
      </c>
      <c r="M71" s="118">
        <v>3</v>
      </c>
      <c r="N71" s="303"/>
      <c r="O71" s="303"/>
      <c r="P71" s="12"/>
      <c r="Q71" s="303"/>
      <c r="R71" s="57">
        <f>M71-P71</f>
        <v>3</v>
      </c>
      <c r="S71" s="110">
        <v>880</v>
      </c>
      <c r="T71" s="360">
        <f t="shared" si="3"/>
        <v>880</v>
      </c>
      <c r="U71" s="349"/>
      <c r="V71" s="12"/>
      <c r="W71" s="118"/>
      <c r="X71" s="118"/>
      <c r="Y71" s="118"/>
      <c r="Z71" s="118"/>
      <c r="AA71" s="118"/>
      <c r="AB71" s="118"/>
      <c r="AC71" s="118"/>
      <c r="AD71" s="118"/>
      <c r="AE71" s="320"/>
      <c r="AF71" s="30"/>
      <c r="AG71" s="213"/>
      <c r="AH71" s="213"/>
      <c r="AI71" s="150"/>
      <c r="AJ71" s="30"/>
      <c r="AK71" s="151"/>
      <c r="AL71" s="150"/>
      <c r="AM71" s="30"/>
      <c r="AN71" s="30"/>
      <c r="AO71" s="30"/>
      <c r="AP71" s="30"/>
      <c r="AQ71" s="30"/>
      <c r="AR71" s="151"/>
      <c r="AS71" s="150"/>
      <c r="AT71" s="162"/>
      <c r="AU71" s="162"/>
      <c r="AV71" s="143"/>
    </row>
    <row r="72" spans="1:48" ht="21.95" customHeight="1" x14ac:dyDescent="0.25">
      <c r="A72" s="30">
        <v>64</v>
      </c>
      <c r="B72" s="30">
        <v>323</v>
      </c>
      <c r="C72" s="30" t="s">
        <v>614</v>
      </c>
      <c r="D72" s="501" t="s">
        <v>1554</v>
      </c>
      <c r="E72" s="118" t="s">
        <v>345</v>
      </c>
      <c r="F72" s="30"/>
      <c r="G72" s="30"/>
      <c r="H72" s="29" t="s">
        <v>644</v>
      </c>
      <c r="I72" s="118" t="s">
        <v>615</v>
      </c>
      <c r="J72" s="62" t="s">
        <v>616</v>
      </c>
      <c r="K72" s="12">
        <f>511+409+817+481</f>
        <v>2218</v>
      </c>
      <c r="L72" s="118" t="s">
        <v>617</v>
      </c>
      <c r="M72" s="118">
        <v>5</v>
      </c>
      <c r="N72" s="303"/>
      <c r="O72" s="303"/>
      <c r="P72" s="12"/>
      <c r="Q72" s="303"/>
      <c r="R72" s="303">
        <f>M72-O72</f>
        <v>5</v>
      </c>
      <c r="S72" s="110">
        <v>2219</v>
      </c>
      <c r="T72" s="360">
        <f t="shared" si="3"/>
        <v>2219</v>
      </c>
      <c r="U72" s="349"/>
      <c r="V72" s="12"/>
      <c r="W72" s="118"/>
      <c r="X72" s="118"/>
      <c r="Y72" s="118"/>
      <c r="Z72" s="118"/>
      <c r="AA72" s="118"/>
      <c r="AB72" s="118"/>
      <c r="AC72" s="118"/>
      <c r="AD72" s="118"/>
      <c r="AE72" s="320"/>
      <c r="AF72" s="30"/>
      <c r="AG72" s="30"/>
      <c r="AH72" s="213"/>
      <c r="AI72" s="150"/>
      <c r="AJ72" s="30"/>
      <c r="AK72" s="151"/>
      <c r="AL72" s="150"/>
      <c r="AM72" s="30"/>
      <c r="AN72" s="30"/>
      <c r="AO72" s="30"/>
      <c r="AP72" s="30"/>
      <c r="AQ72" s="30"/>
      <c r="AR72" s="151"/>
      <c r="AS72" s="150" t="s">
        <v>612</v>
      </c>
      <c r="AT72" s="162"/>
      <c r="AU72" s="162"/>
      <c r="AV72" s="182">
        <v>46082</v>
      </c>
    </row>
    <row r="73" spans="1:48" ht="24" customHeight="1" x14ac:dyDescent="0.25">
      <c r="A73" s="42">
        <v>65</v>
      </c>
      <c r="B73" s="42">
        <v>324</v>
      </c>
      <c r="C73" s="42" t="s">
        <v>641</v>
      </c>
      <c r="D73" s="42"/>
      <c r="E73" s="32"/>
      <c r="F73" s="42"/>
      <c r="G73" s="42"/>
      <c r="H73" s="60" t="s">
        <v>645</v>
      </c>
      <c r="I73" s="32" t="s">
        <v>646</v>
      </c>
      <c r="J73" s="33" t="s">
        <v>597</v>
      </c>
      <c r="K73" s="35">
        <v>51500</v>
      </c>
      <c r="L73" s="32"/>
      <c r="M73" s="32"/>
      <c r="N73" s="32"/>
      <c r="O73" s="32"/>
      <c r="P73" s="35"/>
      <c r="Q73" s="32"/>
      <c r="R73" s="32"/>
      <c r="S73" s="109"/>
      <c r="T73" s="360">
        <f t="shared" si="3"/>
        <v>0</v>
      </c>
      <c r="U73" s="354"/>
      <c r="V73" s="35"/>
      <c r="W73" s="32"/>
      <c r="X73" s="32"/>
      <c r="Y73" s="32"/>
      <c r="Z73" s="32"/>
      <c r="AA73" s="32"/>
      <c r="AB73" s="32"/>
      <c r="AC73" s="32"/>
      <c r="AD73" s="32"/>
      <c r="AE73" s="317"/>
      <c r="AF73" s="42"/>
      <c r="AG73" s="212"/>
      <c r="AH73" s="212"/>
      <c r="AI73" s="147"/>
      <c r="AJ73" s="42"/>
      <c r="AK73" s="148"/>
      <c r="AL73" s="147"/>
      <c r="AM73" s="42"/>
      <c r="AN73" s="42"/>
      <c r="AO73" s="42"/>
      <c r="AP73" s="42"/>
      <c r="AQ73" s="42"/>
      <c r="AR73" s="148"/>
      <c r="AS73" s="147"/>
      <c r="AT73" s="167"/>
      <c r="AU73" s="162"/>
      <c r="AV73" s="143"/>
    </row>
    <row r="74" spans="1:48" ht="21.95" customHeight="1" x14ac:dyDescent="0.25">
      <c r="A74" s="30">
        <v>66</v>
      </c>
      <c r="B74" s="30">
        <v>325</v>
      </c>
      <c r="C74" s="30" t="s">
        <v>642</v>
      </c>
      <c r="D74" s="30"/>
      <c r="E74" s="118"/>
      <c r="F74" s="30"/>
      <c r="G74" s="30"/>
      <c r="H74" s="29" t="s">
        <v>647</v>
      </c>
      <c r="I74" s="118" t="s">
        <v>648</v>
      </c>
      <c r="J74" s="62" t="s">
        <v>649</v>
      </c>
      <c r="K74" s="12">
        <v>28131</v>
      </c>
      <c r="L74" s="118" t="s">
        <v>650</v>
      </c>
      <c r="M74" s="118"/>
      <c r="N74" s="303"/>
      <c r="O74" s="303"/>
      <c r="P74" s="12"/>
      <c r="Q74" s="303"/>
      <c r="R74" s="303">
        <v>14</v>
      </c>
      <c r="S74" s="110">
        <v>23843</v>
      </c>
      <c r="T74" s="360">
        <f t="shared" si="3"/>
        <v>23843</v>
      </c>
      <c r="U74" s="349"/>
      <c r="V74" s="12"/>
      <c r="W74" s="118"/>
      <c r="X74" s="118"/>
      <c r="Y74" s="118"/>
      <c r="Z74" s="118"/>
      <c r="AA74" s="118"/>
      <c r="AB74" s="118"/>
      <c r="AC74" s="118"/>
      <c r="AD74" s="118"/>
      <c r="AE74" s="320"/>
      <c r="AF74" s="30"/>
      <c r="AG74" s="213"/>
      <c r="AH74" s="213"/>
      <c r="AI74" s="150"/>
      <c r="AJ74" s="30"/>
      <c r="AK74" s="151"/>
      <c r="AL74" s="150"/>
      <c r="AM74" s="30"/>
      <c r="AN74" s="30"/>
      <c r="AO74" s="30"/>
      <c r="AP74" s="30"/>
      <c r="AQ74" s="30"/>
      <c r="AR74" s="151"/>
      <c r="AS74" s="150"/>
      <c r="AT74" s="167"/>
      <c r="AU74" s="162"/>
      <c r="AV74" s="143"/>
    </row>
    <row r="75" spans="1:48" ht="21.95" customHeight="1" x14ac:dyDescent="0.25">
      <c r="A75" s="30">
        <v>67</v>
      </c>
      <c r="B75" s="30">
        <v>326</v>
      </c>
      <c r="C75" s="30" t="s">
        <v>643</v>
      </c>
      <c r="D75" s="30"/>
      <c r="E75" s="118"/>
      <c r="F75" s="30"/>
      <c r="G75" s="30"/>
      <c r="H75" s="29" t="s">
        <v>1487</v>
      </c>
      <c r="I75" s="118" t="s">
        <v>651</v>
      </c>
      <c r="J75" s="62" t="s">
        <v>591</v>
      </c>
      <c r="K75" s="12">
        <v>14311</v>
      </c>
      <c r="L75" s="118" t="s">
        <v>652</v>
      </c>
      <c r="M75" s="118">
        <v>13</v>
      </c>
      <c r="N75" s="303"/>
      <c r="O75" s="303"/>
      <c r="P75" s="12"/>
      <c r="Q75" s="303"/>
      <c r="R75" s="303">
        <v>13</v>
      </c>
      <c r="S75" s="110">
        <v>14311</v>
      </c>
      <c r="T75" s="360">
        <f t="shared" si="3"/>
        <v>14311</v>
      </c>
      <c r="U75" s="349"/>
      <c r="V75" s="12"/>
      <c r="W75" s="118"/>
      <c r="X75" s="118"/>
      <c r="Y75" s="118"/>
      <c r="Z75" s="118"/>
      <c r="AA75" s="118"/>
      <c r="AB75" s="118"/>
      <c r="AC75" s="118"/>
      <c r="AD75" s="118"/>
      <c r="AE75" s="320"/>
      <c r="AF75" s="30"/>
      <c r="AG75" s="213"/>
      <c r="AH75" s="213"/>
      <c r="AI75" s="150"/>
      <c r="AJ75" s="30"/>
      <c r="AK75" s="151"/>
      <c r="AL75" s="150"/>
      <c r="AM75" s="30"/>
      <c r="AN75" s="30"/>
      <c r="AO75" s="30"/>
      <c r="AP75" s="30"/>
      <c r="AQ75" s="30"/>
      <c r="AR75" s="151"/>
      <c r="AS75" s="150"/>
      <c r="AT75" s="167"/>
      <c r="AU75" s="162"/>
      <c r="AV75" s="143"/>
    </row>
    <row r="76" spans="1:48" ht="31.5" x14ac:dyDescent="0.25">
      <c r="A76" s="7">
        <v>68</v>
      </c>
      <c r="B76" s="7">
        <v>327</v>
      </c>
      <c r="C76" s="7" t="s">
        <v>654</v>
      </c>
      <c r="D76" s="502" t="s">
        <v>1084</v>
      </c>
      <c r="E76" s="119" t="s">
        <v>1084</v>
      </c>
      <c r="F76" s="269" t="s">
        <v>1177</v>
      </c>
      <c r="G76" s="7">
        <v>1</v>
      </c>
      <c r="H76" s="49" t="s">
        <v>509</v>
      </c>
      <c r="I76" s="119">
        <v>2610787</v>
      </c>
      <c r="J76" s="117" t="s">
        <v>653</v>
      </c>
      <c r="K76" s="9">
        <v>8651</v>
      </c>
      <c r="L76" s="119" t="s">
        <v>1444</v>
      </c>
      <c r="M76" s="119">
        <v>4</v>
      </c>
      <c r="N76" s="304" t="s">
        <v>1233</v>
      </c>
      <c r="O76" s="304">
        <v>2</v>
      </c>
      <c r="P76" s="306">
        <v>5403</v>
      </c>
      <c r="Q76" s="304" t="s">
        <v>1445</v>
      </c>
      <c r="R76" s="304">
        <f>M76-O76</f>
        <v>2</v>
      </c>
      <c r="S76" s="294">
        <f>K76-P76</f>
        <v>3248</v>
      </c>
      <c r="T76" s="360">
        <f t="shared" si="3"/>
        <v>8651</v>
      </c>
      <c r="U76" s="351"/>
      <c r="V76" s="9"/>
      <c r="W76" s="119"/>
      <c r="X76" s="119"/>
      <c r="Y76" s="119"/>
      <c r="Z76" s="119"/>
      <c r="AA76" s="119"/>
      <c r="AB76" s="119"/>
      <c r="AC76" s="119"/>
      <c r="AD76" s="7"/>
      <c r="AE76" s="74" t="s">
        <v>836</v>
      </c>
      <c r="AF76" s="167"/>
      <c r="AG76" s="209"/>
      <c r="AH76" s="209"/>
      <c r="AI76" s="144"/>
      <c r="AJ76" s="7"/>
      <c r="AK76" s="145"/>
      <c r="AL76" s="144"/>
      <c r="AM76" s="7"/>
      <c r="AN76" s="7"/>
      <c r="AO76" s="7"/>
      <c r="AP76" s="7"/>
      <c r="AQ76" s="7"/>
      <c r="AR76" s="145"/>
      <c r="AS76" s="144" t="s">
        <v>571</v>
      </c>
      <c r="AT76" s="167">
        <v>1</v>
      </c>
      <c r="AU76" s="82">
        <v>46054</v>
      </c>
      <c r="AV76" s="143"/>
    </row>
    <row r="77" spans="1:48" s="66" customFormat="1" ht="31.5" x14ac:dyDescent="0.25">
      <c r="A77" s="167">
        <v>69</v>
      </c>
      <c r="B77" s="167">
        <v>328</v>
      </c>
      <c r="C77" s="167" t="s">
        <v>663</v>
      </c>
      <c r="D77" s="502" t="s">
        <v>1554</v>
      </c>
      <c r="E77" s="500" t="s">
        <v>1555</v>
      </c>
      <c r="F77" s="167"/>
      <c r="G77" s="167"/>
      <c r="H77" s="49" t="s">
        <v>1210</v>
      </c>
      <c r="I77" s="392">
        <v>3370207</v>
      </c>
      <c r="J77" s="391" t="s">
        <v>676</v>
      </c>
      <c r="K77" s="393">
        <f>1995+2217</f>
        <v>4212</v>
      </c>
      <c r="L77" s="392" t="s">
        <v>195</v>
      </c>
      <c r="M77" s="392">
        <v>2</v>
      </c>
      <c r="N77" s="392"/>
      <c r="O77" s="392"/>
      <c r="P77" s="393"/>
      <c r="Q77" s="392"/>
      <c r="R77" s="392">
        <v>2</v>
      </c>
      <c r="S77" s="294">
        <v>4212</v>
      </c>
      <c r="T77" s="365">
        <f t="shared" si="3"/>
        <v>4212</v>
      </c>
      <c r="U77" s="351"/>
      <c r="V77" s="393"/>
      <c r="W77" s="392">
        <v>1</v>
      </c>
      <c r="X77" s="392"/>
      <c r="Y77" s="392"/>
      <c r="Z77" s="392"/>
      <c r="AA77" s="392"/>
      <c r="AB77" s="392"/>
      <c r="AC77" s="392"/>
      <c r="AD77" s="392"/>
      <c r="AE77" s="74"/>
      <c r="AF77" s="167"/>
      <c r="AG77" s="209"/>
      <c r="AH77" s="209"/>
      <c r="AI77" s="144"/>
      <c r="AJ77" s="167"/>
      <c r="AK77" s="145"/>
      <c r="AL77" s="144"/>
      <c r="AM77" s="167"/>
      <c r="AN77" s="167"/>
      <c r="AO77" s="167"/>
      <c r="AP77" s="167"/>
      <c r="AQ77" s="167"/>
      <c r="AR77" s="145"/>
      <c r="AS77" s="144" t="s">
        <v>571</v>
      </c>
      <c r="AT77" s="167">
        <v>1</v>
      </c>
      <c r="AU77" s="167"/>
      <c r="AV77" s="145"/>
    </row>
    <row r="78" spans="1:48" ht="21.95" customHeight="1" x14ac:dyDescent="0.25">
      <c r="A78" s="42">
        <v>70</v>
      </c>
      <c r="B78" s="42">
        <v>329</v>
      </c>
      <c r="C78" s="42" t="s">
        <v>664</v>
      </c>
      <c r="D78" s="42"/>
      <c r="E78" s="32"/>
      <c r="F78" s="42" t="s">
        <v>665</v>
      </c>
      <c r="G78" s="42"/>
      <c r="H78" s="60" t="s">
        <v>677</v>
      </c>
      <c r="I78" s="32" t="s">
        <v>678</v>
      </c>
      <c r="J78" s="33" t="s">
        <v>679</v>
      </c>
      <c r="K78" s="35">
        <v>26247</v>
      </c>
      <c r="L78" s="32"/>
      <c r="M78" s="32"/>
      <c r="N78" s="32"/>
      <c r="O78" s="32"/>
      <c r="P78" s="35"/>
      <c r="Q78" s="32"/>
      <c r="R78" s="32"/>
      <c r="S78" s="109"/>
      <c r="T78" s="360">
        <f t="shared" si="3"/>
        <v>0</v>
      </c>
      <c r="U78" s="354"/>
      <c r="V78" s="35"/>
      <c r="W78" s="32"/>
      <c r="X78" s="32"/>
      <c r="Y78" s="32"/>
      <c r="Z78" s="32"/>
      <c r="AA78" s="32"/>
      <c r="AB78" s="32"/>
      <c r="AC78" s="32"/>
      <c r="AD78" s="32"/>
      <c r="AE78" s="317"/>
      <c r="AF78" s="42"/>
      <c r="AG78" s="212"/>
      <c r="AH78" s="212"/>
      <c r="AI78" s="147"/>
      <c r="AJ78" s="42"/>
      <c r="AK78" s="148"/>
      <c r="AL78" s="147"/>
      <c r="AM78" s="42"/>
      <c r="AN78" s="42"/>
      <c r="AO78" s="42"/>
      <c r="AP78" s="42"/>
      <c r="AQ78" s="42"/>
      <c r="AR78" s="148"/>
      <c r="AS78" s="147"/>
      <c r="AT78" s="167"/>
      <c r="AU78" s="162"/>
      <c r="AV78" s="143"/>
    </row>
    <row r="79" spans="1:48" ht="21.95" customHeight="1" x14ac:dyDescent="0.25">
      <c r="A79" s="42">
        <v>71</v>
      </c>
      <c r="B79" s="42">
        <v>330</v>
      </c>
      <c r="C79" s="42" t="s">
        <v>666</v>
      </c>
      <c r="D79" s="42"/>
      <c r="E79" s="32"/>
      <c r="F79" s="42" t="s">
        <v>665</v>
      </c>
      <c r="G79" s="42"/>
      <c r="H79" s="60" t="s">
        <v>705</v>
      </c>
      <c r="I79" s="32">
        <v>1010338</v>
      </c>
      <c r="J79" s="33" t="s">
        <v>591</v>
      </c>
      <c r="K79" s="35">
        <v>21500</v>
      </c>
      <c r="L79" s="32" t="s">
        <v>706</v>
      </c>
      <c r="M79" s="32"/>
      <c r="N79" s="32"/>
      <c r="O79" s="32"/>
      <c r="P79" s="35"/>
      <c r="Q79" s="32"/>
      <c r="R79" s="32"/>
      <c r="S79" s="109"/>
      <c r="T79" s="360">
        <f t="shared" si="3"/>
        <v>0</v>
      </c>
      <c r="U79" s="354"/>
      <c r="V79" s="35"/>
      <c r="W79" s="32"/>
      <c r="X79" s="32"/>
      <c r="Y79" s="32"/>
      <c r="Z79" s="32"/>
      <c r="AA79" s="32"/>
      <c r="AB79" s="32"/>
      <c r="AC79" s="32"/>
      <c r="AD79" s="32"/>
      <c r="AE79" s="317"/>
      <c r="AF79" s="42"/>
      <c r="AG79" s="212"/>
      <c r="AH79" s="212"/>
      <c r="AI79" s="147"/>
      <c r="AJ79" s="42"/>
      <c r="AK79" s="148"/>
      <c r="AL79" s="147"/>
      <c r="AM79" s="42"/>
      <c r="AN79" s="42"/>
      <c r="AO79" s="42"/>
      <c r="AP79" s="42"/>
      <c r="AQ79" s="42"/>
      <c r="AR79" s="148"/>
      <c r="AS79" s="147"/>
      <c r="AT79" s="167"/>
      <c r="AU79" s="162"/>
      <c r="AV79" s="143"/>
    </row>
    <row r="80" spans="1:48" s="66" customFormat="1" ht="21.95" customHeight="1" x14ac:dyDescent="0.25">
      <c r="A80" s="167">
        <v>72</v>
      </c>
      <c r="B80" s="167">
        <v>331</v>
      </c>
      <c r="C80" s="167" t="s">
        <v>667</v>
      </c>
      <c r="D80" s="502" t="s">
        <v>1084</v>
      </c>
      <c r="E80" s="293" t="s">
        <v>346</v>
      </c>
      <c r="F80" s="167"/>
      <c r="G80" s="167"/>
      <c r="H80" s="49" t="s">
        <v>1146</v>
      </c>
      <c r="I80" s="293" t="s">
        <v>707</v>
      </c>
      <c r="J80" s="292" t="s">
        <v>125</v>
      </c>
      <c r="K80" s="295">
        <v>8315</v>
      </c>
      <c r="L80" s="293" t="s">
        <v>1418</v>
      </c>
      <c r="M80" s="293">
        <v>5</v>
      </c>
      <c r="N80" s="312">
        <v>1</v>
      </c>
      <c r="O80" s="304">
        <v>1</v>
      </c>
      <c r="P80" s="313">
        <v>1746</v>
      </c>
      <c r="Q80" s="312" t="s">
        <v>1419</v>
      </c>
      <c r="R80" s="312">
        <f>M80-O80</f>
        <v>4</v>
      </c>
      <c r="S80" s="341">
        <f>K80-P80</f>
        <v>6569</v>
      </c>
      <c r="T80" s="360">
        <f t="shared" si="3"/>
        <v>8315</v>
      </c>
      <c r="U80" s="351"/>
      <c r="V80" s="295"/>
      <c r="W80" s="293"/>
      <c r="X80" s="293"/>
      <c r="Y80" s="293"/>
      <c r="Z80" s="293"/>
      <c r="AA80" s="293"/>
      <c r="AB80" s="293">
        <v>1</v>
      </c>
      <c r="AC80" s="293"/>
      <c r="AD80" s="293"/>
      <c r="AE80" s="74"/>
      <c r="AF80" s="325"/>
      <c r="AG80" s="209"/>
      <c r="AH80" s="209"/>
      <c r="AI80" s="144"/>
      <c r="AJ80" s="167"/>
      <c r="AK80" s="145"/>
      <c r="AL80" s="144"/>
      <c r="AM80" s="167"/>
      <c r="AN80" s="167"/>
      <c r="AO80" s="167"/>
      <c r="AP80" s="167"/>
      <c r="AQ80" s="167"/>
      <c r="AR80" s="145"/>
      <c r="AS80" s="144" t="s">
        <v>571</v>
      </c>
      <c r="AT80" s="433">
        <v>1</v>
      </c>
      <c r="AU80" s="167"/>
      <c r="AV80" s="145"/>
    </row>
    <row r="81" spans="1:48" ht="21.95" customHeight="1" x14ac:dyDescent="0.25">
      <c r="A81" s="30">
        <v>83</v>
      </c>
      <c r="B81" s="30">
        <v>332</v>
      </c>
      <c r="C81" s="30" t="s">
        <v>668</v>
      </c>
      <c r="D81" s="30"/>
      <c r="E81" s="118"/>
      <c r="F81" s="30"/>
      <c r="G81" s="30"/>
      <c r="H81" s="29" t="s">
        <v>669</v>
      </c>
      <c r="I81" s="118"/>
      <c r="J81" s="62"/>
      <c r="K81" s="12"/>
      <c r="L81" s="118"/>
      <c r="M81" s="118"/>
      <c r="N81" s="303"/>
      <c r="O81" s="303"/>
      <c r="P81" s="12"/>
      <c r="Q81" s="303"/>
      <c r="R81" s="303"/>
      <c r="S81" s="110"/>
      <c r="T81" s="360">
        <f t="shared" si="3"/>
        <v>0</v>
      </c>
      <c r="U81" s="349"/>
      <c r="V81" s="12"/>
      <c r="W81" s="118"/>
      <c r="X81" s="118"/>
      <c r="Y81" s="118"/>
      <c r="Z81" s="118"/>
      <c r="AA81" s="118"/>
      <c r="AB81" s="118"/>
      <c r="AC81" s="118"/>
      <c r="AD81" s="118"/>
      <c r="AE81" s="320"/>
      <c r="AF81" s="30"/>
      <c r="AG81" s="213"/>
      <c r="AH81" s="213"/>
      <c r="AI81" s="150"/>
      <c r="AJ81" s="30"/>
      <c r="AK81" s="151"/>
      <c r="AL81" s="150"/>
      <c r="AM81" s="30"/>
      <c r="AN81" s="30"/>
      <c r="AO81" s="30"/>
      <c r="AP81" s="30"/>
      <c r="AQ81" s="30"/>
      <c r="AR81" s="151"/>
      <c r="AS81" s="150"/>
      <c r="AT81" s="162"/>
      <c r="AU81" s="162"/>
      <c r="AV81" s="143"/>
    </row>
    <row r="82" spans="1:48" ht="31.5" x14ac:dyDescent="0.25">
      <c r="A82" s="7">
        <v>84</v>
      </c>
      <c r="B82" s="7">
        <v>333</v>
      </c>
      <c r="C82" s="7" t="s">
        <v>670</v>
      </c>
      <c r="D82" s="502" t="s">
        <v>1084</v>
      </c>
      <c r="E82" s="7" t="s">
        <v>346</v>
      </c>
      <c r="F82" s="269" t="s">
        <v>657</v>
      </c>
      <c r="G82" s="7">
        <v>1</v>
      </c>
      <c r="H82" s="49" t="s">
        <v>1553</v>
      </c>
      <c r="I82" s="119">
        <v>6453275</v>
      </c>
      <c r="J82" s="117" t="s">
        <v>708</v>
      </c>
      <c r="K82" s="9">
        <f>67247+4540</f>
        <v>71787</v>
      </c>
      <c r="L82" s="119" t="s">
        <v>1420</v>
      </c>
      <c r="M82" s="119">
        <v>35</v>
      </c>
      <c r="N82" s="310" t="s">
        <v>1421</v>
      </c>
      <c r="O82" s="304">
        <v>5</v>
      </c>
      <c r="P82" s="313">
        <v>18560</v>
      </c>
      <c r="Q82" s="310" t="s">
        <v>1389</v>
      </c>
      <c r="R82" s="312">
        <f>M82-O82</f>
        <v>30</v>
      </c>
      <c r="S82" s="341">
        <f>K82-P82</f>
        <v>53227</v>
      </c>
      <c r="T82" s="360">
        <f t="shared" si="3"/>
        <v>71787</v>
      </c>
      <c r="U82" s="351"/>
      <c r="V82" s="9"/>
      <c r="W82" s="166"/>
      <c r="X82" s="117"/>
      <c r="Y82" s="232"/>
      <c r="Z82" s="232"/>
      <c r="AA82" s="119" t="s">
        <v>1391</v>
      </c>
      <c r="AB82" s="119" t="s">
        <v>1390</v>
      </c>
      <c r="AC82" s="117"/>
      <c r="AD82" s="119"/>
      <c r="AE82" s="74" t="s">
        <v>1392</v>
      </c>
      <c r="AF82" s="323" t="s">
        <v>1393</v>
      </c>
      <c r="AG82" s="209"/>
      <c r="AH82" s="209"/>
      <c r="AI82" s="144"/>
      <c r="AJ82" s="7"/>
      <c r="AK82" s="145"/>
      <c r="AL82" s="144" t="s">
        <v>1032</v>
      </c>
      <c r="AM82" s="167" t="s">
        <v>958</v>
      </c>
      <c r="AN82" s="167" t="s">
        <v>945</v>
      </c>
      <c r="AO82" s="167" t="s">
        <v>945</v>
      </c>
      <c r="AP82" s="167" t="s">
        <v>945</v>
      </c>
      <c r="AQ82" s="167" t="s">
        <v>945</v>
      </c>
      <c r="AR82" s="145" t="s">
        <v>945</v>
      </c>
      <c r="AS82" s="144" t="s">
        <v>571</v>
      </c>
      <c r="AT82" s="162">
        <v>1</v>
      </c>
      <c r="AU82" s="84"/>
      <c r="AV82" s="184"/>
    </row>
    <row r="83" spans="1:48" ht="30" x14ac:dyDescent="0.25">
      <c r="A83" s="30">
        <v>85</v>
      </c>
      <c r="B83" s="30">
        <v>334</v>
      </c>
      <c r="C83" s="30" t="s">
        <v>671</v>
      </c>
      <c r="D83" s="30"/>
      <c r="E83" s="118"/>
      <c r="F83" s="30"/>
      <c r="G83" s="30"/>
      <c r="H83" s="29" t="s">
        <v>672</v>
      </c>
      <c r="I83" s="118">
        <v>6313268</v>
      </c>
      <c r="J83" s="69" t="s">
        <v>193</v>
      </c>
      <c r="K83" s="12">
        <v>2118</v>
      </c>
      <c r="L83" s="118" t="s">
        <v>680</v>
      </c>
      <c r="M83" s="118">
        <v>2</v>
      </c>
      <c r="N83" s="303"/>
      <c r="O83" s="303"/>
      <c r="P83" s="12"/>
      <c r="Q83" s="303"/>
      <c r="R83" s="303">
        <v>2</v>
      </c>
      <c r="S83" s="110">
        <v>2118</v>
      </c>
      <c r="T83" s="360">
        <f t="shared" si="3"/>
        <v>2118</v>
      </c>
      <c r="U83" s="349"/>
      <c r="V83" s="12"/>
      <c r="W83" s="118"/>
      <c r="X83" s="118"/>
      <c r="Y83" s="118"/>
      <c r="Z83" s="118"/>
      <c r="AA83" s="118"/>
      <c r="AB83" s="118"/>
      <c r="AC83" s="118"/>
      <c r="AD83" s="118"/>
      <c r="AE83" s="320"/>
      <c r="AF83" s="30"/>
      <c r="AG83" s="213"/>
      <c r="AH83" s="213"/>
      <c r="AI83" s="150"/>
      <c r="AJ83" s="30"/>
      <c r="AK83" s="151"/>
      <c r="AL83" s="150"/>
      <c r="AM83" s="30"/>
      <c r="AN83" s="30"/>
      <c r="AO83" s="30"/>
      <c r="AP83" s="30"/>
      <c r="AQ83" s="30"/>
      <c r="AR83" s="151"/>
      <c r="AS83" s="150"/>
      <c r="AT83" s="162"/>
      <c r="AU83" s="162"/>
      <c r="AV83" s="143"/>
    </row>
    <row r="84" spans="1:48" ht="21.95" customHeight="1" x14ac:dyDescent="0.25">
      <c r="A84" s="7">
        <v>86</v>
      </c>
      <c r="B84" s="7">
        <v>335</v>
      </c>
      <c r="C84" s="7" t="s">
        <v>673</v>
      </c>
      <c r="D84" s="502" t="s">
        <v>1554</v>
      </c>
      <c r="E84" s="119" t="s">
        <v>345</v>
      </c>
      <c r="F84" s="7"/>
      <c r="G84" s="7"/>
      <c r="H84" s="49" t="s">
        <v>681</v>
      </c>
      <c r="I84" s="119">
        <v>602014004</v>
      </c>
      <c r="J84" s="117" t="s">
        <v>660</v>
      </c>
      <c r="K84" s="9">
        <v>9306</v>
      </c>
      <c r="L84" s="119"/>
      <c r="M84" s="119"/>
      <c r="N84" s="406" t="s">
        <v>1345</v>
      </c>
      <c r="O84" s="392"/>
      <c r="P84" s="393">
        <v>800</v>
      </c>
      <c r="Q84" s="392"/>
      <c r="R84" s="392">
        <v>6</v>
      </c>
      <c r="S84" s="294">
        <f>K84-P84</f>
        <v>8506</v>
      </c>
      <c r="T84" s="365">
        <f t="shared" si="3"/>
        <v>9306</v>
      </c>
      <c r="U84" s="351"/>
      <c r="V84" s="393"/>
      <c r="W84" s="392"/>
      <c r="X84" s="119"/>
      <c r="Y84" s="119"/>
      <c r="Z84" s="406" t="s">
        <v>1346</v>
      </c>
      <c r="AA84" s="119"/>
      <c r="AB84" s="119"/>
      <c r="AC84" s="119"/>
      <c r="AD84" s="119"/>
      <c r="AE84" s="74"/>
      <c r="AF84" s="406" t="s">
        <v>1346</v>
      </c>
      <c r="AG84" s="167"/>
      <c r="AH84" s="209"/>
      <c r="AI84" s="144"/>
      <c r="AJ84" s="7"/>
      <c r="AK84" s="145"/>
      <c r="AL84" s="136" t="s">
        <v>958</v>
      </c>
      <c r="AM84" s="49" t="s">
        <v>958</v>
      </c>
      <c r="AN84" s="49" t="s">
        <v>958</v>
      </c>
      <c r="AO84" s="49" t="s">
        <v>958</v>
      </c>
      <c r="AP84" s="49" t="s">
        <v>958</v>
      </c>
      <c r="AQ84" s="49" t="s">
        <v>958</v>
      </c>
      <c r="AR84" s="137" t="s">
        <v>958</v>
      </c>
      <c r="AS84" s="144" t="s">
        <v>571</v>
      </c>
      <c r="AT84" s="162">
        <v>1</v>
      </c>
      <c r="AU84" s="162"/>
      <c r="AV84" s="184">
        <v>46037</v>
      </c>
    </row>
    <row r="85" spans="1:48" ht="27.75" customHeight="1" x14ac:dyDescent="0.25">
      <c r="A85" s="30">
        <v>87</v>
      </c>
      <c r="B85" s="30">
        <v>336</v>
      </c>
      <c r="C85" s="30" t="s">
        <v>674</v>
      </c>
      <c r="D85" s="501" t="s">
        <v>1084</v>
      </c>
      <c r="E85" s="188" t="s">
        <v>1090</v>
      </c>
      <c r="F85" s="30"/>
      <c r="G85" s="30"/>
      <c r="H85" s="73" t="s">
        <v>1528</v>
      </c>
      <c r="I85" s="118">
        <v>6488673</v>
      </c>
      <c r="J85" s="69" t="s">
        <v>161</v>
      </c>
      <c r="K85" s="12">
        <v>19547</v>
      </c>
      <c r="L85" s="118" t="s">
        <v>682</v>
      </c>
      <c r="M85" s="118">
        <v>16</v>
      </c>
      <c r="N85" s="32"/>
      <c r="O85" s="303"/>
      <c r="P85" s="35"/>
      <c r="Q85" s="32"/>
      <c r="R85" s="32"/>
      <c r="S85" s="109"/>
      <c r="T85" s="360">
        <f t="shared" si="3"/>
        <v>0</v>
      </c>
      <c r="U85" s="349"/>
      <c r="V85" s="12"/>
      <c r="W85" s="118"/>
      <c r="X85" s="118"/>
      <c r="Y85" s="118"/>
      <c r="Z85" s="118"/>
      <c r="AA85" s="118"/>
      <c r="AB85" s="118"/>
      <c r="AC85" s="118"/>
      <c r="AD85" s="118"/>
      <c r="AE85" s="320"/>
      <c r="AF85" s="42"/>
      <c r="AG85" s="213"/>
      <c r="AH85" s="213"/>
      <c r="AI85" s="150"/>
      <c r="AJ85" s="30"/>
      <c r="AK85" s="151"/>
      <c r="AL85" s="150"/>
      <c r="AM85" s="30"/>
      <c r="AN85" s="30"/>
      <c r="AO85" s="30"/>
      <c r="AP85" s="30"/>
      <c r="AQ85" s="30"/>
      <c r="AR85" s="151"/>
      <c r="AS85" s="144" t="s">
        <v>571</v>
      </c>
      <c r="AT85" s="433">
        <v>1</v>
      </c>
      <c r="AU85" s="162"/>
      <c r="AV85" s="184">
        <v>46032</v>
      </c>
    </row>
    <row r="86" spans="1:48" ht="21.75" customHeight="1" x14ac:dyDescent="0.25">
      <c r="A86" s="30">
        <v>88</v>
      </c>
      <c r="B86" s="30">
        <v>338</v>
      </c>
      <c r="C86" s="30" t="s">
        <v>711</v>
      </c>
      <c r="D86" s="30"/>
      <c r="E86" s="30"/>
      <c r="F86" s="30"/>
      <c r="G86" s="30"/>
      <c r="H86" s="29" t="s">
        <v>846</v>
      </c>
      <c r="I86" s="118">
        <v>6188937</v>
      </c>
      <c r="J86" s="62" t="s">
        <v>842</v>
      </c>
      <c r="K86" s="12">
        <v>10982</v>
      </c>
      <c r="L86" s="118" t="s">
        <v>847</v>
      </c>
      <c r="M86" s="118">
        <v>4</v>
      </c>
      <c r="N86" s="303"/>
      <c r="O86" s="303"/>
      <c r="P86" s="12"/>
      <c r="Q86" s="303"/>
      <c r="R86" s="303">
        <v>4</v>
      </c>
      <c r="S86" s="110">
        <v>10982</v>
      </c>
      <c r="T86" s="360">
        <f t="shared" si="3"/>
        <v>10982</v>
      </c>
      <c r="U86" s="349"/>
      <c r="V86" s="12"/>
      <c r="W86" s="118"/>
      <c r="X86" s="118"/>
      <c r="Y86" s="118"/>
      <c r="Z86" s="118"/>
      <c r="AA86" s="118"/>
      <c r="AB86" s="118"/>
      <c r="AC86" s="118"/>
      <c r="AD86" s="118"/>
      <c r="AE86" s="320"/>
      <c r="AF86" s="30"/>
      <c r="AG86" s="213"/>
      <c r="AH86" s="213"/>
      <c r="AI86" s="150"/>
      <c r="AJ86" s="30"/>
      <c r="AK86" s="151"/>
      <c r="AL86" s="150"/>
      <c r="AM86" s="30"/>
      <c r="AN86" s="30"/>
      <c r="AO86" s="30"/>
      <c r="AP86" s="30"/>
      <c r="AQ86" s="30"/>
      <c r="AR86" s="151"/>
      <c r="AS86" s="150"/>
      <c r="AT86" s="162"/>
      <c r="AU86" s="162"/>
      <c r="AV86" s="143"/>
    </row>
    <row r="87" spans="1:48" ht="21.95" customHeight="1" x14ac:dyDescent="0.25">
      <c r="A87" s="30">
        <v>89</v>
      </c>
      <c r="B87" s="30">
        <v>339</v>
      </c>
      <c r="C87" s="30" t="s">
        <v>689</v>
      </c>
      <c r="D87" s="30"/>
      <c r="E87" s="30"/>
      <c r="F87" s="30"/>
      <c r="G87" s="30"/>
      <c r="H87" s="29" t="s">
        <v>695</v>
      </c>
      <c r="I87" s="118">
        <v>1170518</v>
      </c>
      <c r="J87" s="62" t="s">
        <v>684</v>
      </c>
      <c r="K87" s="12">
        <v>5774</v>
      </c>
      <c r="L87" s="118" t="s">
        <v>685</v>
      </c>
      <c r="M87" s="118">
        <v>8</v>
      </c>
      <c r="N87" s="303"/>
      <c r="O87" s="303"/>
      <c r="P87" s="12"/>
      <c r="Q87" s="303"/>
      <c r="R87" s="303">
        <v>8</v>
      </c>
      <c r="S87" s="110">
        <v>129951</v>
      </c>
      <c r="T87" s="360">
        <f t="shared" si="3"/>
        <v>129951</v>
      </c>
      <c r="U87" s="349"/>
      <c r="V87" s="12"/>
      <c r="W87" s="118"/>
      <c r="X87" s="118"/>
      <c r="Y87" s="118"/>
      <c r="Z87" s="118"/>
      <c r="AA87" s="118"/>
      <c r="AB87" s="118"/>
      <c r="AC87" s="118"/>
      <c r="AD87" s="118"/>
      <c r="AE87" s="320"/>
      <c r="AF87" s="30"/>
      <c r="AG87" s="213"/>
      <c r="AH87" s="213"/>
      <c r="AI87" s="150"/>
      <c r="AJ87" s="30"/>
      <c r="AK87" s="151"/>
      <c r="AL87" s="150"/>
      <c r="AM87" s="30"/>
      <c r="AN87" s="30"/>
      <c r="AO87" s="30"/>
      <c r="AP87" s="30"/>
      <c r="AQ87" s="30"/>
      <c r="AR87" s="151"/>
      <c r="AS87" s="150"/>
      <c r="AT87" s="162"/>
      <c r="AU87" s="162"/>
      <c r="AV87" s="143"/>
    </row>
    <row r="88" spans="1:48" ht="21.95" customHeight="1" x14ac:dyDescent="0.25">
      <c r="A88" s="30">
        <v>90</v>
      </c>
      <c r="B88" s="30">
        <v>340</v>
      </c>
      <c r="C88" s="30" t="s">
        <v>406</v>
      </c>
      <c r="D88" s="30"/>
      <c r="E88" s="30"/>
      <c r="F88" s="30"/>
      <c r="G88" s="30"/>
      <c r="H88" s="29" t="s">
        <v>696</v>
      </c>
      <c r="I88" s="118">
        <v>1170518</v>
      </c>
      <c r="J88" s="62" t="s">
        <v>408</v>
      </c>
      <c r="K88" s="12">
        <v>5774</v>
      </c>
      <c r="L88" s="118" t="s">
        <v>710</v>
      </c>
      <c r="M88" s="118">
        <v>8</v>
      </c>
      <c r="N88" s="303"/>
      <c r="O88" s="303"/>
      <c r="P88" s="12"/>
      <c r="Q88" s="303"/>
      <c r="R88" s="303">
        <v>8</v>
      </c>
      <c r="S88" s="110">
        <v>5774</v>
      </c>
      <c r="T88" s="360">
        <f t="shared" si="3"/>
        <v>5774</v>
      </c>
      <c r="U88" s="349"/>
      <c r="V88" s="12"/>
      <c r="W88" s="118"/>
      <c r="X88" s="118"/>
      <c r="Y88" s="118"/>
      <c r="Z88" s="118"/>
      <c r="AA88" s="118"/>
      <c r="AB88" s="118"/>
      <c r="AC88" s="118"/>
      <c r="AD88" s="118"/>
      <c r="AE88" s="320"/>
      <c r="AF88" s="30"/>
      <c r="AG88" s="213"/>
      <c r="AH88" s="213"/>
      <c r="AI88" s="150"/>
      <c r="AJ88" s="30"/>
      <c r="AK88" s="151"/>
      <c r="AL88" s="150"/>
      <c r="AM88" s="30"/>
      <c r="AN88" s="30"/>
      <c r="AO88" s="30"/>
      <c r="AP88" s="30"/>
      <c r="AQ88" s="30"/>
      <c r="AR88" s="151"/>
      <c r="AS88" s="150"/>
      <c r="AT88" s="162"/>
      <c r="AU88" s="162"/>
      <c r="AV88" s="143"/>
    </row>
    <row r="89" spans="1:48" ht="15.75" x14ac:dyDescent="0.25">
      <c r="A89" s="167">
        <v>91</v>
      </c>
      <c r="B89" s="167">
        <v>341</v>
      </c>
      <c r="C89" s="167" t="s">
        <v>690</v>
      </c>
      <c r="D89" s="502" t="s">
        <v>1554</v>
      </c>
      <c r="E89" s="216" t="s">
        <v>345</v>
      </c>
      <c r="F89" s="268" t="s">
        <v>1188</v>
      </c>
      <c r="G89" s="167">
        <v>1</v>
      </c>
      <c r="H89" s="49" t="s">
        <v>1007</v>
      </c>
      <c r="I89" s="169" t="s">
        <v>1008</v>
      </c>
      <c r="J89" s="166" t="s">
        <v>1009</v>
      </c>
      <c r="K89" s="163">
        <v>14105</v>
      </c>
      <c r="L89" s="169" t="s">
        <v>1137</v>
      </c>
      <c r="M89" s="169">
        <v>18</v>
      </c>
      <c r="N89" s="304" t="s">
        <v>1347</v>
      </c>
      <c r="O89" s="304">
        <v>4</v>
      </c>
      <c r="P89" s="306">
        <v>4352</v>
      </c>
      <c r="Q89" s="304" t="s">
        <v>1224</v>
      </c>
      <c r="R89" s="304">
        <f>M89-O89</f>
        <v>14</v>
      </c>
      <c r="S89" s="294">
        <f>K89-P89</f>
        <v>9753</v>
      </c>
      <c r="T89" s="365">
        <f t="shared" si="3"/>
        <v>14105</v>
      </c>
      <c r="U89" s="351"/>
      <c r="V89" s="163"/>
      <c r="W89" s="169">
        <v>2</v>
      </c>
      <c r="X89" s="169"/>
      <c r="Y89" s="259"/>
      <c r="Z89" s="169"/>
      <c r="AA89" s="224">
        <v>1</v>
      </c>
      <c r="AB89" s="169"/>
      <c r="AC89" s="239"/>
      <c r="AD89" s="169"/>
      <c r="AE89" s="74" t="s">
        <v>1348</v>
      </c>
      <c r="AF89" s="392" t="s">
        <v>1363</v>
      </c>
      <c r="AG89" s="167"/>
      <c r="AH89" s="209"/>
      <c r="AI89" s="144"/>
      <c r="AJ89" s="167"/>
      <c r="AK89" s="145"/>
      <c r="AL89" s="144" t="s">
        <v>955</v>
      </c>
      <c r="AM89" s="167"/>
      <c r="AN89" s="167" t="s">
        <v>955</v>
      </c>
      <c r="AO89" s="167"/>
      <c r="AP89" s="167"/>
      <c r="AQ89" s="167" t="s">
        <v>955</v>
      </c>
      <c r="AR89" s="145"/>
      <c r="AS89" s="144" t="s">
        <v>571</v>
      </c>
      <c r="AT89" s="162">
        <v>1</v>
      </c>
      <c r="AU89" s="162"/>
      <c r="AV89" s="184">
        <v>46055</v>
      </c>
    </row>
    <row r="90" spans="1:48" ht="30" x14ac:dyDescent="0.25">
      <c r="A90" s="7">
        <v>92</v>
      </c>
      <c r="B90" s="7">
        <v>342</v>
      </c>
      <c r="C90" s="7" t="s">
        <v>691</v>
      </c>
      <c r="D90" s="502" t="s">
        <v>1084</v>
      </c>
      <c r="E90" s="224" t="s">
        <v>1090</v>
      </c>
      <c r="F90" s="269" t="s">
        <v>1187</v>
      </c>
      <c r="G90" s="7">
        <v>2</v>
      </c>
      <c r="H90" s="49" t="s">
        <v>697</v>
      </c>
      <c r="I90" s="119">
        <v>6820126</v>
      </c>
      <c r="J90" s="117" t="s">
        <v>698</v>
      </c>
      <c r="K90" s="9">
        <v>41386</v>
      </c>
      <c r="L90" s="119" t="s">
        <v>712</v>
      </c>
      <c r="M90" s="119">
        <v>25</v>
      </c>
      <c r="N90" s="312" t="s">
        <v>1234</v>
      </c>
      <c r="O90" s="304">
        <v>6</v>
      </c>
      <c r="P90" s="313">
        <v>14553</v>
      </c>
      <c r="Q90" s="312" t="s">
        <v>1130</v>
      </c>
      <c r="R90" s="312">
        <v>16</v>
      </c>
      <c r="S90" s="341">
        <v>21453</v>
      </c>
      <c r="T90" s="360">
        <f t="shared" si="3"/>
        <v>36006</v>
      </c>
      <c r="U90" s="351"/>
      <c r="V90" s="9"/>
      <c r="W90" s="121"/>
      <c r="X90" s="121"/>
      <c r="Y90" s="196"/>
      <c r="Z90" s="196"/>
      <c r="AA90" s="119"/>
      <c r="AB90" s="119" t="s">
        <v>1515</v>
      </c>
      <c r="AC90" s="129"/>
      <c r="AE90" s="49" t="s">
        <v>1377</v>
      </c>
      <c r="AF90" s="49" t="s">
        <v>1516</v>
      </c>
      <c r="AG90" s="206"/>
      <c r="AH90" s="206"/>
      <c r="AI90" s="136" t="s">
        <v>948</v>
      </c>
      <c r="AJ90" s="49" t="s">
        <v>969</v>
      </c>
      <c r="AK90" s="137"/>
      <c r="AL90" s="136" t="s">
        <v>958</v>
      </c>
      <c r="AM90" s="49" t="s">
        <v>958</v>
      </c>
      <c r="AN90" s="49" t="s">
        <v>958</v>
      </c>
      <c r="AO90" s="49" t="s">
        <v>958</v>
      </c>
      <c r="AP90" s="49" t="s">
        <v>958</v>
      </c>
      <c r="AQ90" s="49" t="s">
        <v>958</v>
      </c>
      <c r="AR90" s="137" t="s">
        <v>958</v>
      </c>
      <c r="AS90" s="144" t="s">
        <v>571</v>
      </c>
      <c r="AT90" s="167">
        <v>1</v>
      </c>
      <c r="AU90" s="82">
        <v>46235</v>
      </c>
      <c r="AV90" s="143"/>
    </row>
    <row r="91" spans="1:48" ht="21.95" customHeight="1" x14ac:dyDescent="0.25">
      <c r="A91" s="7">
        <v>93</v>
      </c>
      <c r="B91" s="7">
        <v>343</v>
      </c>
      <c r="C91" s="7" t="s">
        <v>692</v>
      </c>
      <c r="D91" s="167"/>
      <c r="E91" s="7"/>
      <c r="F91" s="167"/>
      <c r="G91" s="7"/>
      <c r="H91" s="49" t="s">
        <v>699</v>
      </c>
      <c r="I91" s="119">
        <v>5914121</v>
      </c>
      <c r="J91" s="117" t="s">
        <v>700</v>
      </c>
      <c r="K91" s="9">
        <f>801*15</f>
        <v>12015</v>
      </c>
      <c r="L91" s="119" t="s">
        <v>713</v>
      </c>
      <c r="M91" s="119">
        <v>30</v>
      </c>
      <c r="N91" s="304"/>
      <c r="O91" s="304"/>
      <c r="P91" s="306"/>
      <c r="Q91" s="304"/>
      <c r="R91" s="304"/>
      <c r="S91" s="294">
        <v>12015</v>
      </c>
      <c r="T91" s="360">
        <f t="shared" si="3"/>
        <v>12015</v>
      </c>
      <c r="U91" s="351"/>
      <c r="V91" s="9"/>
      <c r="W91" s="119"/>
      <c r="X91" s="119"/>
      <c r="Y91" s="119"/>
      <c r="Z91" s="119"/>
      <c r="AA91" s="119"/>
      <c r="AB91" s="119"/>
      <c r="AC91" s="119"/>
      <c r="AD91" s="119"/>
      <c r="AE91" s="74"/>
      <c r="AF91" s="167"/>
      <c r="AG91" s="209"/>
      <c r="AH91" s="209"/>
      <c r="AI91" s="144"/>
      <c r="AJ91" s="7"/>
      <c r="AK91" s="145"/>
      <c r="AL91" s="136" t="s">
        <v>958</v>
      </c>
      <c r="AM91" s="49" t="s">
        <v>958</v>
      </c>
      <c r="AN91" s="49" t="s">
        <v>958</v>
      </c>
      <c r="AO91" s="49" t="s">
        <v>958</v>
      </c>
      <c r="AP91" s="49" t="s">
        <v>958</v>
      </c>
      <c r="AQ91" s="49" t="s">
        <v>958</v>
      </c>
      <c r="AR91" s="137" t="s">
        <v>958</v>
      </c>
      <c r="AS91" s="144"/>
      <c r="AT91" s="162"/>
      <c r="AU91" s="162"/>
      <c r="AV91" s="184">
        <v>46047</v>
      </c>
    </row>
    <row r="92" spans="1:48" ht="21.95" customHeight="1" x14ac:dyDescent="0.25">
      <c r="A92" s="30">
        <v>94</v>
      </c>
      <c r="B92" s="30">
        <v>344</v>
      </c>
      <c r="C92" s="30" t="s">
        <v>693</v>
      </c>
      <c r="D92" s="30"/>
      <c r="E92" s="30"/>
      <c r="F92" s="30"/>
      <c r="G92" s="30"/>
      <c r="H92" s="60" t="s">
        <v>701</v>
      </c>
      <c r="I92" s="118">
        <v>6854308</v>
      </c>
      <c r="J92" s="62" t="s">
        <v>702</v>
      </c>
      <c r="K92" s="12">
        <v>53228</v>
      </c>
      <c r="L92" s="118" t="s">
        <v>714</v>
      </c>
      <c r="M92" s="118">
        <v>25</v>
      </c>
      <c r="N92" s="32" t="s">
        <v>120</v>
      </c>
      <c r="O92" s="303"/>
      <c r="P92" s="35"/>
      <c r="Q92" s="32"/>
      <c r="R92" s="32"/>
      <c r="S92" s="109"/>
      <c r="T92" s="360">
        <f t="shared" si="3"/>
        <v>0</v>
      </c>
      <c r="U92" s="349"/>
      <c r="V92" s="12"/>
      <c r="W92" s="118"/>
      <c r="X92" s="118"/>
      <c r="Y92" s="118"/>
      <c r="Z92" s="118"/>
      <c r="AA92" s="118"/>
      <c r="AB92" s="118"/>
      <c r="AC92" s="118"/>
      <c r="AD92" s="118"/>
      <c r="AE92" s="320"/>
      <c r="AF92" s="42"/>
      <c r="AG92" s="213"/>
      <c r="AH92" s="213"/>
      <c r="AI92" s="150"/>
      <c r="AJ92" s="30"/>
      <c r="AK92" s="151"/>
      <c r="AL92" s="150"/>
      <c r="AM92" s="30"/>
      <c r="AN92" s="30"/>
      <c r="AO92" s="30"/>
      <c r="AP92" s="30"/>
      <c r="AQ92" s="30"/>
      <c r="AR92" s="151"/>
      <c r="AS92" s="150"/>
      <c r="AT92" s="162"/>
      <c r="AU92" s="162"/>
      <c r="AV92" s="143"/>
    </row>
    <row r="93" spans="1:48" s="66" customFormat="1" ht="21.95" customHeight="1" x14ac:dyDescent="0.25">
      <c r="A93" s="167">
        <v>95</v>
      </c>
      <c r="B93" s="167">
        <v>345</v>
      </c>
      <c r="C93" s="167" t="s">
        <v>694</v>
      </c>
      <c r="D93" s="502" t="s">
        <v>1554</v>
      </c>
      <c r="E93" s="167" t="s">
        <v>345</v>
      </c>
      <c r="F93" s="167"/>
      <c r="G93" s="167"/>
      <c r="H93" s="49" t="s">
        <v>703</v>
      </c>
      <c r="I93" s="304">
        <v>6439734</v>
      </c>
      <c r="J93" s="302" t="s">
        <v>704</v>
      </c>
      <c r="K93" s="306">
        <v>2120</v>
      </c>
      <c r="L93" s="304" t="s">
        <v>1364</v>
      </c>
      <c r="M93" s="304">
        <v>5</v>
      </c>
      <c r="N93" s="392"/>
      <c r="O93" s="392"/>
      <c r="P93" s="393"/>
      <c r="Q93" s="392"/>
      <c r="R93" s="392"/>
      <c r="S93" s="294">
        <f>K93-P93</f>
        <v>2120</v>
      </c>
      <c r="T93" s="365">
        <f t="shared" si="3"/>
        <v>2120</v>
      </c>
      <c r="U93" s="351"/>
      <c r="V93" s="393"/>
      <c r="W93" s="304"/>
      <c r="X93" s="304"/>
      <c r="Y93" s="304">
        <v>1</v>
      </c>
      <c r="Z93" s="304"/>
      <c r="AA93" s="304"/>
      <c r="AB93" s="304"/>
      <c r="AC93" s="304"/>
      <c r="AD93" s="304"/>
      <c r="AE93" s="74"/>
      <c r="AF93" s="167"/>
      <c r="AG93" s="209"/>
      <c r="AH93" s="209"/>
      <c r="AI93" s="144"/>
      <c r="AJ93" s="167"/>
      <c r="AK93" s="145"/>
      <c r="AL93" s="144"/>
      <c r="AM93" s="167"/>
      <c r="AN93" s="167"/>
      <c r="AO93" s="167"/>
      <c r="AP93" s="167"/>
      <c r="AQ93" s="167"/>
      <c r="AR93" s="145"/>
      <c r="AS93" s="144" t="s">
        <v>571</v>
      </c>
      <c r="AT93" s="167">
        <v>1</v>
      </c>
      <c r="AU93" s="167"/>
      <c r="AV93" s="145"/>
    </row>
    <row r="94" spans="1:48" s="66" customFormat="1" ht="21.95" customHeight="1" x14ac:dyDescent="0.25">
      <c r="A94" s="167">
        <v>96</v>
      </c>
      <c r="B94" s="167">
        <v>346</v>
      </c>
      <c r="C94" s="167" t="s">
        <v>756</v>
      </c>
      <c r="D94" s="502" t="s">
        <v>1084</v>
      </c>
      <c r="E94" s="167" t="s">
        <v>1090</v>
      </c>
      <c r="F94" s="167"/>
      <c r="G94" s="167"/>
      <c r="H94" s="49" t="s">
        <v>757</v>
      </c>
      <c r="I94" s="290">
        <v>6488736</v>
      </c>
      <c r="J94" s="289" t="s">
        <v>211</v>
      </c>
      <c r="K94" s="291">
        <v>18649</v>
      </c>
      <c r="L94" s="290" t="s">
        <v>758</v>
      </c>
      <c r="M94" s="290">
        <v>17</v>
      </c>
      <c r="N94" s="312"/>
      <c r="O94" s="304"/>
      <c r="P94" s="313"/>
      <c r="Q94" s="312"/>
      <c r="R94" s="312">
        <v>17</v>
      </c>
      <c r="S94" s="341">
        <v>18649</v>
      </c>
      <c r="T94" s="360">
        <f t="shared" si="3"/>
        <v>18649</v>
      </c>
      <c r="U94" s="351"/>
      <c r="V94" s="291"/>
      <c r="W94" s="290"/>
      <c r="X94" s="290"/>
      <c r="Y94" s="290" t="s">
        <v>1517</v>
      </c>
      <c r="Z94" s="290"/>
      <c r="AA94" s="290"/>
      <c r="AB94" s="290"/>
      <c r="AC94" s="290"/>
      <c r="AD94" s="290"/>
      <c r="AE94" s="74"/>
      <c r="AF94" s="325">
        <v>15</v>
      </c>
      <c r="AG94" s="209"/>
      <c r="AH94" s="209"/>
      <c r="AI94" s="144"/>
      <c r="AJ94" s="167"/>
      <c r="AK94" s="145"/>
      <c r="AL94" s="144"/>
      <c r="AM94" s="167"/>
      <c r="AN94" s="167"/>
      <c r="AO94" s="167"/>
      <c r="AP94" s="167"/>
      <c r="AQ94" s="167"/>
      <c r="AR94" s="145"/>
      <c r="AS94" s="144" t="s">
        <v>571</v>
      </c>
      <c r="AT94" s="167">
        <v>1</v>
      </c>
      <c r="AU94" s="167"/>
      <c r="AV94" s="145"/>
    </row>
    <row r="95" spans="1:48" ht="21.95" customHeight="1" x14ac:dyDescent="0.25">
      <c r="A95" s="30">
        <v>97</v>
      </c>
      <c r="B95" s="30">
        <v>347</v>
      </c>
      <c r="C95" s="30" t="s">
        <v>753</v>
      </c>
      <c r="D95" s="30"/>
      <c r="E95" s="30"/>
      <c r="F95" s="30"/>
      <c r="G95" s="30"/>
      <c r="H95" s="29" t="s">
        <v>755</v>
      </c>
      <c r="I95" s="118"/>
      <c r="J95" s="62" t="s">
        <v>754</v>
      </c>
      <c r="K95" s="12">
        <v>25400</v>
      </c>
      <c r="L95" s="118"/>
      <c r="M95" s="118"/>
      <c r="N95" s="303"/>
      <c r="O95" s="303"/>
      <c r="P95" s="12"/>
      <c r="Q95" s="303"/>
      <c r="R95" s="303"/>
      <c r="S95" s="110">
        <v>25400</v>
      </c>
      <c r="T95" s="360">
        <f t="shared" si="3"/>
        <v>25400</v>
      </c>
      <c r="U95" s="349"/>
      <c r="V95" s="12"/>
      <c r="W95" s="118"/>
      <c r="X95" s="118"/>
      <c r="Y95" s="118"/>
      <c r="Z95" s="118"/>
      <c r="AA95" s="118"/>
      <c r="AB95" s="118"/>
      <c r="AC95" s="118"/>
      <c r="AD95" s="118"/>
      <c r="AE95" s="320"/>
      <c r="AF95" s="30"/>
      <c r="AG95" s="213"/>
      <c r="AH95" s="213"/>
      <c r="AI95" s="150"/>
      <c r="AJ95" s="30"/>
      <c r="AK95" s="151"/>
      <c r="AL95" s="150"/>
      <c r="AM95" s="30"/>
      <c r="AN95" s="30"/>
      <c r="AO95" s="30"/>
      <c r="AP95" s="30"/>
      <c r="AQ95" s="30"/>
      <c r="AR95" s="151"/>
      <c r="AS95" s="150"/>
      <c r="AT95" s="162"/>
      <c r="AU95" s="162"/>
      <c r="AV95" s="143"/>
    </row>
    <row r="96" spans="1:48" ht="21.95" customHeight="1" x14ac:dyDescent="0.25">
      <c r="A96" s="30">
        <v>98</v>
      </c>
      <c r="B96" s="30">
        <v>348</v>
      </c>
      <c r="C96" s="30" t="s">
        <v>748</v>
      </c>
      <c r="D96" s="30"/>
      <c r="E96" s="30"/>
      <c r="F96" s="30"/>
      <c r="G96" s="30"/>
      <c r="H96" s="29" t="s">
        <v>749</v>
      </c>
      <c r="I96" s="118" t="s">
        <v>750</v>
      </c>
      <c r="J96" s="62" t="s">
        <v>751</v>
      </c>
      <c r="K96" s="12">
        <v>85565</v>
      </c>
      <c r="L96" s="118" t="s">
        <v>752</v>
      </c>
      <c r="M96" s="118">
        <v>57</v>
      </c>
      <c r="N96" s="303"/>
      <c r="O96" s="303"/>
      <c r="P96" s="12"/>
      <c r="Q96" s="303"/>
      <c r="R96" s="303">
        <v>57</v>
      </c>
      <c r="S96" s="110">
        <v>85565</v>
      </c>
      <c r="T96" s="360">
        <f t="shared" si="3"/>
        <v>85565</v>
      </c>
      <c r="U96" s="349"/>
      <c r="V96" s="12"/>
      <c r="W96" s="118"/>
      <c r="X96" s="118"/>
      <c r="Y96" s="118"/>
      <c r="Z96" s="118"/>
      <c r="AA96" s="118"/>
      <c r="AB96" s="118"/>
      <c r="AC96" s="118"/>
      <c r="AD96" s="118"/>
      <c r="AE96" s="320"/>
      <c r="AF96" s="30"/>
      <c r="AG96" s="213"/>
      <c r="AH96" s="213"/>
      <c r="AI96" s="150"/>
      <c r="AJ96" s="30"/>
      <c r="AK96" s="151"/>
      <c r="AL96" s="150"/>
      <c r="AM96" s="30"/>
      <c r="AN96" s="30"/>
      <c r="AO96" s="30"/>
      <c r="AP96" s="30"/>
      <c r="AQ96" s="30"/>
      <c r="AR96" s="151"/>
      <c r="AS96" s="150"/>
      <c r="AT96" s="162"/>
      <c r="AU96" s="162"/>
      <c r="AV96" s="143"/>
    </row>
    <row r="97" spans="1:48" ht="40.5" customHeight="1" x14ac:dyDescent="0.25">
      <c r="A97" s="167">
        <v>99</v>
      </c>
      <c r="B97" s="167">
        <v>349</v>
      </c>
      <c r="C97" s="167" t="s">
        <v>744</v>
      </c>
      <c r="D97" s="502" t="s">
        <v>1084</v>
      </c>
      <c r="E97" s="167" t="s">
        <v>1090</v>
      </c>
      <c r="F97" s="30"/>
      <c r="G97" s="30"/>
      <c r="H97" s="49" t="s">
        <v>1446</v>
      </c>
      <c r="I97" s="399">
        <v>3284</v>
      </c>
      <c r="J97" s="397" t="s">
        <v>746</v>
      </c>
      <c r="K97" s="400">
        <v>113559</v>
      </c>
      <c r="L97" s="399" t="s">
        <v>747</v>
      </c>
      <c r="M97" s="399">
        <v>28</v>
      </c>
      <c r="N97" s="399"/>
      <c r="O97" s="399"/>
      <c r="P97" s="400"/>
      <c r="Q97" s="399"/>
      <c r="R97" s="399">
        <v>28</v>
      </c>
      <c r="S97" s="294">
        <v>113562</v>
      </c>
      <c r="T97" s="365">
        <f t="shared" si="3"/>
        <v>113562</v>
      </c>
      <c r="U97" s="351"/>
      <c r="V97" s="400"/>
      <c r="W97" s="399"/>
      <c r="X97" s="399" t="s">
        <v>1518</v>
      </c>
      <c r="Y97" s="399"/>
      <c r="Z97" s="399" t="s">
        <v>1519</v>
      </c>
      <c r="AA97" s="399"/>
      <c r="AB97" s="399"/>
      <c r="AC97" s="399"/>
      <c r="AD97" s="399"/>
      <c r="AE97" s="74"/>
      <c r="AF97" s="167"/>
      <c r="AG97" s="209"/>
      <c r="AH97" s="209"/>
      <c r="AI97" s="144"/>
      <c r="AJ97" s="167"/>
      <c r="AK97" s="145"/>
      <c r="AL97" s="144"/>
      <c r="AM97" s="167"/>
      <c r="AN97" s="167"/>
      <c r="AO97" s="167"/>
      <c r="AP97" s="167"/>
      <c r="AQ97" s="167"/>
      <c r="AR97" s="145"/>
      <c r="AS97" s="144" t="s">
        <v>571</v>
      </c>
      <c r="AT97" s="167">
        <v>1</v>
      </c>
      <c r="AU97" s="167"/>
      <c r="AV97" s="145"/>
    </row>
    <row r="98" spans="1:48" ht="39" customHeight="1" x14ac:dyDescent="0.25">
      <c r="A98" s="167">
        <v>100</v>
      </c>
      <c r="B98" s="167">
        <v>349</v>
      </c>
      <c r="C98" s="167" t="s">
        <v>745</v>
      </c>
      <c r="D98" s="502" t="s">
        <v>1084</v>
      </c>
      <c r="E98" s="167" t="s">
        <v>1090</v>
      </c>
      <c r="F98" s="30"/>
      <c r="G98" s="30"/>
      <c r="H98" s="49" t="s">
        <v>1447</v>
      </c>
      <c r="I98" s="399">
        <v>3284</v>
      </c>
      <c r="J98" s="397" t="s">
        <v>746</v>
      </c>
      <c r="K98" s="400">
        <v>112664</v>
      </c>
      <c r="L98" s="399" t="s">
        <v>747</v>
      </c>
      <c r="M98" s="399">
        <v>28</v>
      </c>
      <c r="N98" s="399"/>
      <c r="O98" s="399"/>
      <c r="P98" s="400"/>
      <c r="Q98" s="399"/>
      <c r="R98" s="399">
        <v>28</v>
      </c>
      <c r="S98" s="294">
        <v>112563</v>
      </c>
      <c r="T98" s="365">
        <f t="shared" si="3"/>
        <v>112563</v>
      </c>
      <c r="U98" s="351"/>
      <c r="V98" s="400"/>
      <c r="W98" s="399"/>
      <c r="X98" s="399"/>
      <c r="Y98" s="399"/>
      <c r="Z98" s="399"/>
      <c r="AA98" s="399"/>
      <c r="AB98" s="399"/>
      <c r="AC98" s="399"/>
      <c r="AD98" s="399"/>
      <c r="AE98" s="74"/>
      <c r="AF98" s="167"/>
      <c r="AG98" s="209"/>
      <c r="AH98" s="209"/>
      <c r="AI98" s="144"/>
      <c r="AJ98" s="167"/>
      <c r="AK98" s="145"/>
      <c r="AL98" s="144"/>
      <c r="AM98" s="167"/>
      <c r="AN98" s="167"/>
      <c r="AO98" s="167"/>
      <c r="AP98" s="167"/>
      <c r="AQ98" s="167"/>
      <c r="AR98" s="145"/>
      <c r="AS98" s="144" t="s">
        <v>571</v>
      </c>
      <c r="AT98" s="167">
        <v>1</v>
      </c>
      <c r="AU98" s="167"/>
      <c r="AV98" s="145"/>
    </row>
    <row r="99" spans="1:48" s="66" customFormat="1" ht="21.95" customHeight="1" x14ac:dyDescent="0.25">
      <c r="A99" s="167">
        <v>101</v>
      </c>
      <c r="B99" s="167">
        <v>350</v>
      </c>
      <c r="C99" s="167" t="s">
        <v>740</v>
      </c>
      <c r="D99" s="502" t="s">
        <v>1084</v>
      </c>
      <c r="E99" s="167" t="s">
        <v>1090</v>
      </c>
      <c r="F99" s="167"/>
      <c r="G99" s="167"/>
      <c r="H99" s="49" t="s">
        <v>741</v>
      </c>
      <c r="I99" s="363">
        <v>1341550</v>
      </c>
      <c r="J99" s="363" t="s">
        <v>742</v>
      </c>
      <c r="K99" s="364">
        <v>16988</v>
      </c>
      <c r="L99" s="363" t="s">
        <v>743</v>
      </c>
      <c r="M99" s="363">
        <v>18</v>
      </c>
      <c r="N99" s="363"/>
      <c r="O99" s="363"/>
      <c r="P99" s="364"/>
      <c r="Q99" s="363"/>
      <c r="R99" s="363">
        <v>18</v>
      </c>
      <c r="S99" s="294">
        <v>16988</v>
      </c>
      <c r="T99" s="365">
        <f t="shared" si="3"/>
        <v>16988</v>
      </c>
      <c r="U99" s="351"/>
      <c r="V99" s="364"/>
      <c r="W99" s="363"/>
      <c r="X99" s="363"/>
      <c r="Y99" s="363"/>
      <c r="Z99" s="363" t="s">
        <v>1520</v>
      </c>
      <c r="AA99" s="363"/>
      <c r="AB99" s="363"/>
      <c r="AC99" s="363"/>
      <c r="AD99" s="363"/>
      <c r="AE99" s="74" t="s">
        <v>959</v>
      </c>
      <c r="AF99" s="167"/>
      <c r="AG99" s="209"/>
      <c r="AH99" s="209"/>
      <c r="AI99" s="144"/>
      <c r="AJ99" s="167"/>
      <c r="AK99" s="145"/>
      <c r="AL99" s="144"/>
      <c r="AM99" s="167"/>
      <c r="AN99" s="167"/>
      <c r="AO99" s="167"/>
      <c r="AP99" s="167"/>
      <c r="AQ99" s="167"/>
      <c r="AR99" s="145"/>
      <c r="AS99" s="144" t="s">
        <v>571</v>
      </c>
      <c r="AT99" s="167">
        <v>1</v>
      </c>
      <c r="AU99" s="167"/>
      <c r="AV99" s="366">
        <v>46082</v>
      </c>
    </row>
    <row r="100" spans="1:48" s="437" customFormat="1" ht="21.95" customHeight="1" x14ac:dyDescent="0.25">
      <c r="A100" s="434">
        <v>102</v>
      </c>
      <c r="B100" s="461">
        <v>351</v>
      </c>
      <c r="C100" s="461" t="s">
        <v>736</v>
      </c>
      <c r="D100" s="502" t="s">
        <v>1554</v>
      </c>
      <c r="E100" s="461" t="s">
        <v>345</v>
      </c>
      <c r="F100" s="461"/>
      <c r="G100" s="461"/>
      <c r="H100" s="462" t="s">
        <v>1527</v>
      </c>
      <c r="I100" s="462" t="s">
        <v>737</v>
      </c>
      <c r="J100" s="462" t="s">
        <v>738</v>
      </c>
      <c r="K100" s="463">
        <v>12343</v>
      </c>
      <c r="L100" s="464" t="s">
        <v>739</v>
      </c>
      <c r="M100" s="464">
        <v>9</v>
      </c>
      <c r="N100" s="464"/>
      <c r="O100" s="464"/>
      <c r="P100" s="463"/>
      <c r="Q100" s="464"/>
      <c r="R100" s="464">
        <v>9</v>
      </c>
      <c r="S100" s="465">
        <v>12343</v>
      </c>
      <c r="T100" s="464">
        <f t="shared" si="3"/>
        <v>12343</v>
      </c>
      <c r="U100" s="466"/>
      <c r="V100" s="463"/>
      <c r="W100" s="464"/>
      <c r="X100" s="464"/>
      <c r="Y100" s="464"/>
      <c r="Z100" s="464"/>
      <c r="AA100" s="464"/>
      <c r="AB100" s="464"/>
      <c r="AC100" s="464"/>
      <c r="AD100" s="464"/>
      <c r="AE100" s="467"/>
      <c r="AF100" s="461"/>
      <c r="AG100" s="468"/>
      <c r="AH100" s="468"/>
      <c r="AI100" s="469"/>
      <c r="AJ100" s="461"/>
      <c r="AK100" s="470"/>
      <c r="AL100" s="469"/>
      <c r="AM100" s="461"/>
      <c r="AN100" s="461"/>
      <c r="AO100" s="461"/>
      <c r="AP100" s="461"/>
      <c r="AQ100" s="461"/>
      <c r="AR100" s="470"/>
      <c r="AS100" s="144" t="s">
        <v>571</v>
      </c>
      <c r="AT100" s="167">
        <v>1</v>
      </c>
      <c r="AU100" s="435"/>
      <c r="AV100" s="436"/>
    </row>
    <row r="101" spans="1:48" ht="30" x14ac:dyDescent="0.25">
      <c r="A101" s="167">
        <v>103</v>
      </c>
      <c r="B101" s="160">
        <v>352</v>
      </c>
      <c r="C101" s="160" t="s">
        <v>734</v>
      </c>
      <c r="D101" s="502" t="s">
        <v>1084</v>
      </c>
      <c r="E101" s="160" t="s">
        <v>346</v>
      </c>
      <c r="F101" s="49"/>
      <c r="G101" s="160"/>
      <c r="H101" s="49" t="s">
        <v>848</v>
      </c>
      <c r="I101" s="49">
        <v>6457762</v>
      </c>
      <c r="J101" s="49" t="s">
        <v>735</v>
      </c>
      <c r="K101" s="159">
        <v>11668</v>
      </c>
      <c r="L101" s="161" t="s">
        <v>1422</v>
      </c>
      <c r="M101" s="161">
        <v>9</v>
      </c>
      <c r="N101" s="312" t="s">
        <v>1423</v>
      </c>
      <c r="O101" s="304">
        <v>4</v>
      </c>
      <c r="P101" s="313">
        <v>7638</v>
      </c>
      <c r="Q101" s="312" t="s">
        <v>1394</v>
      </c>
      <c r="R101" s="312">
        <f>M101-O101</f>
        <v>5</v>
      </c>
      <c r="S101" s="341">
        <v>6620.32</v>
      </c>
      <c r="T101" s="360">
        <f t="shared" si="3"/>
        <v>14258.32</v>
      </c>
      <c r="U101" s="351"/>
      <c r="V101" s="159"/>
      <c r="W101" s="161" t="s">
        <v>1397</v>
      </c>
      <c r="X101" s="161"/>
      <c r="Y101" s="161"/>
      <c r="Z101" s="161"/>
      <c r="AA101" s="161"/>
      <c r="AB101" s="392" t="s">
        <v>1396</v>
      </c>
      <c r="AC101" s="233" t="s">
        <v>1395</v>
      </c>
      <c r="AD101" s="161"/>
      <c r="AE101" s="323" t="s">
        <v>1398</v>
      </c>
      <c r="AF101" s="323" t="s">
        <v>1399</v>
      </c>
      <c r="AG101" s="209"/>
      <c r="AH101" s="209"/>
      <c r="AI101" s="144"/>
      <c r="AJ101" s="160"/>
      <c r="AK101" s="145"/>
      <c r="AL101" s="144" t="s">
        <v>955</v>
      </c>
      <c r="AM101" s="160" t="s">
        <v>948</v>
      </c>
      <c r="AN101" s="160" t="s">
        <v>955</v>
      </c>
      <c r="AO101" s="160" t="s">
        <v>948</v>
      </c>
      <c r="AP101" s="160" t="s">
        <v>948</v>
      </c>
      <c r="AQ101" s="160" t="s">
        <v>955</v>
      </c>
      <c r="AR101" s="145"/>
      <c r="AS101" s="144" t="s">
        <v>571</v>
      </c>
      <c r="AT101" s="167">
        <v>1</v>
      </c>
      <c r="AU101" s="167"/>
      <c r="AV101" s="185"/>
    </row>
    <row r="102" spans="1:48" ht="21.95" customHeight="1" x14ac:dyDescent="0.25">
      <c r="A102" s="167">
        <v>104</v>
      </c>
      <c r="B102" s="30">
        <v>354</v>
      </c>
      <c r="C102" s="30" t="s">
        <v>728</v>
      </c>
      <c r="D102" s="501" t="s">
        <v>1554</v>
      </c>
      <c r="E102" s="30" t="s">
        <v>1556</v>
      </c>
      <c r="F102" s="30" t="s">
        <v>529</v>
      </c>
      <c r="G102" s="30"/>
      <c r="H102" s="29" t="s">
        <v>729</v>
      </c>
      <c r="I102" s="29">
        <v>6727770</v>
      </c>
      <c r="J102" s="29" t="s">
        <v>730</v>
      </c>
      <c r="K102" s="12">
        <v>113960</v>
      </c>
      <c r="L102" s="118" t="s">
        <v>731</v>
      </c>
      <c r="M102" s="118">
        <v>24</v>
      </c>
      <c r="N102" s="333"/>
      <c r="O102" s="303"/>
      <c r="P102" s="339"/>
      <c r="Q102" s="333"/>
      <c r="R102" s="346">
        <v>24</v>
      </c>
      <c r="S102" s="345">
        <v>113960</v>
      </c>
      <c r="T102" s="360">
        <f t="shared" si="3"/>
        <v>113960</v>
      </c>
      <c r="U102" s="349"/>
      <c r="V102" s="12"/>
      <c r="W102" s="118"/>
      <c r="X102" s="118"/>
      <c r="Y102" s="118"/>
      <c r="Z102" s="118"/>
      <c r="AA102" s="118"/>
      <c r="AB102" s="118"/>
      <c r="AC102" s="118"/>
      <c r="AD102" s="118"/>
      <c r="AE102" s="320"/>
      <c r="AF102" s="328"/>
      <c r="AG102" s="30"/>
      <c r="AH102" s="213"/>
      <c r="AI102" s="150"/>
      <c r="AJ102" s="30"/>
      <c r="AK102" s="151"/>
      <c r="AL102" s="150"/>
      <c r="AM102" s="30"/>
      <c r="AN102" s="30"/>
      <c r="AO102" s="30"/>
      <c r="AP102" s="30"/>
      <c r="AQ102" s="30"/>
      <c r="AR102" s="151"/>
      <c r="AS102" s="150"/>
      <c r="AT102" s="167"/>
      <c r="AU102" s="167"/>
      <c r="AV102" s="185">
        <v>46068</v>
      </c>
    </row>
    <row r="103" spans="1:48" ht="31.5" x14ac:dyDescent="0.25">
      <c r="A103" s="167">
        <v>105</v>
      </c>
      <c r="B103" s="30">
        <v>355</v>
      </c>
      <c r="C103" s="30" t="s">
        <v>724</v>
      </c>
      <c r="D103" s="30"/>
      <c r="E103" s="30"/>
      <c r="F103" s="30"/>
      <c r="G103" s="30"/>
      <c r="H103" s="29" t="s">
        <v>725</v>
      </c>
      <c r="I103" s="29">
        <v>3460377</v>
      </c>
      <c r="J103" s="29" t="s">
        <v>726</v>
      </c>
      <c r="K103" s="12">
        <v>108865</v>
      </c>
      <c r="L103" s="62" t="s">
        <v>727</v>
      </c>
      <c r="M103" s="118">
        <f>12+37+3</f>
        <v>52</v>
      </c>
      <c r="N103" s="303"/>
      <c r="O103" s="303"/>
      <c r="P103" s="12"/>
      <c r="Q103" s="303"/>
      <c r="R103" s="303">
        <v>52</v>
      </c>
      <c r="S103" s="110">
        <v>108865</v>
      </c>
      <c r="T103" s="360">
        <f t="shared" si="3"/>
        <v>108865</v>
      </c>
      <c r="U103" s="349"/>
      <c r="V103" s="12"/>
      <c r="W103" s="118"/>
      <c r="X103" s="118"/>
      <c r="Y103" s="118"/>
      <c r="Z103" s="118"/>
      <c r="AA103" s="118"/>
      <c r="AB103" s="118"/>
      <c r="AC103" s="118"/>
      <c r="AD103" s="118"/>
      <c r="AE103" s="320"/>
      <c r="AF103" s="30"/>
      <c r="AG103" s="213"/>
      <c r="AH103" s="213"/>
      <c r="AI103" s="150"/>
      <c r="AJ103" s="30"/>
      <c r="AK103" s="151"/>
      <c r="AL103" s="150"/>
      <c r="AM103" s="30"/>
      <c r="AN103" s="30"/>
      <c r="AO103" s="30"/>
      <c r="AP103" s="30"/>
      <c r="AQ103" s="30"/>
      <c r="AR103" s="151"/>
      <c r="AS103" s="150"/>
      <c r="AT103" s="162"/>
      <c r="AU103" s="162"/>
      <c r="AV103" s="143"/>
    </row>
    <row r="104" spans="1:48" ht="25.5" x14ac:dyDescent="0.25">
      <c r="A104" s="167">
        <v>106</v>
      </c>
      <c r="B104" s="167">
        <v>356</v>
      </c>
      <c r="C104" s="167" t="s">
        <v>760</v>
      </c>
      <c r="D104" s="502" t="s">
        <v>1554</v>
      </c>
      <c r="E104" s="167" t="s">
        <v>345</v>
      </c>
      <c r="F104" s="268" t="s">
        <v>1180</v>
      </c>
      <c r="G104" s="167">
        <v>1</v>
      </c>
      <c r="H104" s="236" t="s">
        <v>761</v>
      </c>
      <c r="I104" s="236">
        <v>6117273</v>
      </c>
      <c r="J104" s="236" t="s">
        <v>1131</v>
      </c>
      <c r="K104" s="235">
        <v>26588</v>
      </c>
      <c r="L104" s="236"/>
      <c r="M104" s="237"/>
      <c r="N104" s="85" t="s">
        <v>1349</v>
      </c>
      <c r="O104" s="304"/>
      <c r="P104" s="393">
        <v>4356</v>
      </c>
      <c r="Q104" s="85" t="s">
        <v>1225</v>
      </c>
      <c r="R104" s="304">
        <f>M104-O104</f>
        <v>0</v>
      </c>
      <c r="S104" s="294">
        <v>25588</v>
      </c>
      <c r="T104" s="360">
        <f t="shared" ref="T104:T162" si="6">P104+S104</f>
        <v>29944</v>
      </c>
      <c r="U104" s="351"/>
      <c r="V104" s="235"/>
      <c r="W104" s="237"/>
      <c r="X104" s="259"/>
      <c r="Y104" s="237"/>
      <c r="Z104" s="237"/>
      <c r="AA104" s="237"/>
      <c r="AB104" s="237"/>
      <c r="AC104" s="237"/>
      <c r="AD104" s="237"/>
      <c r="AE104" s="74"/>
      <c r="AF104" s="85" t="s">
        <v>1349</v>
      </c>
      <c r="AG104" s="167"/>
      <c r="AH104" s="209"/>
      <c r="AI104" s="144"/>
      <c r="AJ104" s="167"/>
      <c r="AK104" s="145"/>
      <c r="AL104" s="144"/>
      <c r="AM104" s="167"/>
      <c r="AN104" s="167"/>
      <c r="AO104" s="167"/>
      <c r="AP104" s="167"/>
      <c r="AQ104" s="167"/>
      <c r="AR104" s="145"/>
      <c r="AS104" s="144" t="s">
        <v>571</v>
      </c>
      <c r="AT104" s="167">
        <v>1</v>
      </c>
      <c r="AU104" s="167"/>
      <c r="AV104" s="185">
        <v>46081</v>
      </c>
    </row>
    <row r="105" spans="1:48" ht="21.95" customHeight="1" x14ac:dyDescent="0.25">
      <c r="A105" s="167">
        <v>107</v>
      </c>
      <c r="B105" s="7">
        <v>357</v>
      </c>
      <c r="C105" s="7" t="s">
        <v>774</v>
      </c>
      <c r="D105" s="502" t="s">
        <v>1554</v>
      </c>
      <c r="E105" s="201" t="s">
        <v>1554</v>
      </c>
      <c r="F105" s="268" t="s">
        <v>911</v>
      </c>
      <c r="G105" s="7">
        <v>1</v>
      </c>
      <c r="H105" s="49" t="s">
        <v>783</v>
      </c>
      <c r="I105" s="49">
        <v>6731015</v>
      </c>
      <c r="J105" s="49" t="s">
        <v>775</v>
      </c>
      <c r="K105" s="9">
        <v>10902</v>
      </c>
      <c r="L105" s="117" t="s">
        <v>776</v>
      </c>
      <c r="M105" s="119">
        <v>10</v>
      </c>
      <c r="N105" s="304" t="s">
        <v>1449</v>
      </c>
      <c r="O105" s="304">
        <v>6</v>
      </c>
      <c r="P105" s="306">
        <v>7232</v>
      </c>
      <c r="Q105" s="302" t="s">
        <v>1456</v>
      </c>
      <c r="R105" s="304">
        <f>M105-O105</f>
        <v>4</v>
      </c>
      <c r="S105" s="294">
        <f>K105-P105</f>
        <v>3670</v>
      </c>
      <c r="T105" s="360">
        <f t="shared" si="6"/>
        <v>10902</v>
      </c>
      <c r="U105" s="351"/>
      <c r="V105" s="9"/>
      <c r="W105" s="119"/>
      <c r="X105" s="119"/>
      <c r="Y105" s="119"/>
      <c r="Z105" s="119"/>
      <c r="AA105" s="119"/>
      <c r="AB105" s="119"/>
      <c r="AC105" s="119" t="s">
        <v>1450</v>
      </c>
      <c r="AD105" s="167"/>
      <c r="AE105" s="209" t="s">
        <v>1451</v>
      </c>
      <c r="AF105" s="167">
        <v>4</v>
      </c>
      <c r="AG105" s="209"/>
      <c r="AH105" s="209"/>
      <c r="AI105" s="144" t="s">
        <v>948</v>
      </c>
      <c r="AJ105" s="7" t="s">
        <v>959</v>
      </c>
      <c r="AK105" s="145"/>
      <c r="AL105" s="144" t="s">
        <v>1023</v>
      </c>
      <c r="AM105" s="7" t="s">
        <v>945</v>
      </c>
      <c r="AN105" s="167" t="s">
        <v>945</v>
      </c>
      <c r="AO105" s="167" t="s">
        <v>945</v>
      </c>
      <c r="AP105" s="167" t="s">
        <v>945</v>
      </c>
      <c r="AQ105" s="167" t="s">
        <v>945</v>
      </c>
      <c r="AR105" s="167" t="s">
        <v>945</v>
      </c>
      <c r="AS105" s="144" t="s">
        <v>571</v>
      </c>
      <c r="AT105" s="162">
        <v>1</v>
      </c>
      <c r="AU105" s="162"/>
      <c r="AV105" s="184">
        <v>46011</v>
      </c>
    </row>
    <row r="106" spans="1:48" ht="30.75" customHeight="1" x14ac:dyDescent="0.25">
      <c r="A106" s="167">
        <v>108</v>
      </c>
      <c r="B106" s="128">
        <v>358</v>
      </c>
      <c r="C106" s="128" t="s">
        <v>777</v>
      </c>
      <c r="D106" s="502" t="s">
        <v>1554</v>
      </c>
      <c r="E106" s="49" t="s">
        <v>1555</v>
      </c>
      <c r="F106" s="268" t="s">
        <v>912</v>
      </c>
      <c r="G106" s="128">
        <v>1</v>
      </c>
      <c r="H106" s="49" t="s">
        <v>782</v>
      </c>
      <c r="I106" s="49">
        <v>6457759</v>
      </c>
      <c r="J106" s="49" t="s">
        <v>159</v>
      </c>
      <c r="K106" s="127">
        <v>18282</v>
      </c>
      <c r="L106" s="123" t="s">
        <v>778</v>
      </c>
      <c r="M106" s="124">
        <v>9</v>
      </c>
      <c r="N106" s="310" t="s">
        <v>1313</v>
      </c>
      <c r="O106" s="304">
        <v>3</v>
      </c>
      <c r="P106" s="337">
        <v>11005</v>
      </c>
      <c r="Q106" s="310" t="s">
        <v>1314</v>
      </c>
      <c r="R106" s="316">
        <f>M106-O106</f>
        <v>6</v>
      </c>
      <c r="S106" s="342">
        <f>K106-P106</f>
        <v>7277</v>
      </c>
      <c r="T106" s="360">
        <f t="shared" si="6"/>
        <v>18282</v>
      </c>
      <c r="U106" s="351"/>
      <c r="V106" s="127"/>
      <c r="W106" s="199"/>
      <c r="X106" s="251"/>
      <c r="Y106" s="124"/>
      <c r="Z106" s="223"/>
      <c r="AA106" s="232"/>
      <c r="AB106" s="259" t="s">
        <v>1315</v>
      </c>
      <c r="AC106" s="250" t="s">
        <v>1307</v>
      </c>
      <c r="AD106" s="124" t="s">
        <v>1308</v>
      </c>
      <c r="AE106" s="74" t="s">
        <v>835</v>
      </c>
      <c r="AF106" s="323" t="s">
        <v>1316</v>
      </c>
      <c r="AG106" s="167"/>
      <c r="AH106" s="209"/>
      <c r="AI106" s="144"/>
      <c r="AJ106" s="128"/>
      <c r="AK106" s="145"/>
      <c r="AL106" s="144" t="s">
        <v>955</v>
      </c>
      <c r="AM106" s="128"/>
      <c r="AN106" s="128" t="s">
        <v>948</v>
      </c>
      <c r="AO106" s="128" t="s">
        <v>955</v>
      </c>
      <c r="AP106" s="128" t="s">
        <v>948</v>
      </c>
      <c r="AQ106" s="128" t="s">
        <v>948</v>
      </c>
      <c r="AR106" s="145" t="s">
        <v>948</v>
      </c>
      <c r="AS106" s="144" t="s">
        <v>571</v>
      </c>
      <c r="AT106" s="167">
        <v>1</v>
      </c>
      <c r="AU106" s="167"/>
      <c r="AV106" s="185"/>
    </row>
    <row r="107" spans="1:48" s="66" customFormat="1" ht="15.75" x14ac:dyDescent="0.25">
      <c r="A107" s="167">
        <v>109</v>
      </c>
      <c r="B107" s="167">
        <v>359</v>
      </c>
      <c r="C107" s="167" t="s">
        <v>779</v>
      </c>
      <c r="D107" s="502" t="s">
        <v>1554</v>
      </c>
      <c r="E107" s="167" t="s">
        <v>345</v>
      </c>
      <c r="F107" s="268" t="s">
        <v>1178</v>
      </c>
      <c r="G107" s="167">
        <v>1</v>
      </c>
      <c r="H107" s="49" t="s">
        <v>1274</v>
      </c>
      <c r="I107" s="49" t="s">
        <v>781</v>
      </c>
      <c r="J107" s="49" t="s">
        <v>367</v>
      </c>
      <c r="K107" s="221">
        <v>9585</v>
      </c>
      <c r="L107" s="219" t="s">
        <v>780</v>
      </c>
      <c r="M107" s="220">
        <v>8</v>
      </c>
      <c r="N107" s="304" t="s">
        <v>1351</v>
      </c>
      <c r="O107" s="304">
        <v>3</v>
      </c>
      <c r="P107" s="306">
        <v>4330</v>
      </c>
      <c r="Q107" s="391" t="s">
        <v>1365</v>
      </c>
      <c r="R107" s="304">
        <f>M107-O107</f>
        <v>5</v>
      </c>
      <c r="S107" s="294">
        <f>K107-P107</f>
        <v>5255</v>
      </c>
      <c r="T107" s="360">
        <f t="shared" si="6"/>
        <v>9585</v>
      </c>
      <c r="U107" s="351"/>
      <c r="V107" s="221"/>
      <c r="W107" s="220"/>
      <c r="X107" s="220"/>
      <c r="Y107" s="220"/>
      <c r="Z107" s="250"/>
      <c r="AA107" s="259"/>
      <c r="AB107" s="259"/>
      <c r="AC107" s="265" t="s">
        <v>1352</v>
      </c>
      <c r="AD107" s="220"/>
      <c r="AE107" s="74" t="s">
        <v>1353</v>
      </c>
      <c r="AF107" s="167" t="s">
        <v>1354</v>
      </c>
      <c r="AG107" s="167"/>
      <c r="AH107" s="209"/>
      <c r="AI107" s="144"/>
      <c r="AJ107" s="167"/>
      <c r="AK107" s="145"/>
      <c r="AL107" s="144"/>
      <c r="AM107" s="167"/>
      <c r="AN107" s="167"/>
      <c r="AO107" s="167"/>
      <c r="AP107" s="167"/>
      <c r="AQ107" s="167"/>
      <c r="AR107" s="145"/>
      <c r="AS107" s="144" t="s">
        <v>571</v>
      </c>
      <c r="AT107" s="167">
        <v>1</v>
      </c>
      <c r="AU107" s="167"/>
      <c r="AV107" s="185">
        <v>46069</v>
      </c>
    </row>
    <row r="108" spans="1:48" ht="21.95" customHeight="1" x14ac:dyDescent="0.25">
      <c r="A108" s="167">
        <v>110</v>
      </c>
      <c r="B108" s="30">
        <v>360</v>
      </c>
      <c r="C108" s="30" t="s">
        <v>784</v>
      </c>
      <c r="D108" s="30"/>
      <c r="E108" s="30"/>
      <c r="F108" s="30"/>
      <c r="G108" s="30"/>
      <c r="H108" s="29" t="s">
        <v>785</v>
      </c>
      <c r="I108" s="29" t="s">
        <v>786</v>
      </c>
      <c r="J108" s="29" t="s">
        <v>367</v>
      </c>
      <c r="K108" s="12">
        <v>17583</v>
      </c>
      <c r="L108" s="62" t="s">
        <v>787</v>
      </c>
      <c r="M108" s="118">
        <v>11</v>
      </c>
      <c r="N108" s="303"/>
      <c r="O108" s="303"/>
      <c r="P108" s="12"/>
      <c r="Q108" s="62" t="s">
        <v>787</v>
      </c>
      <c r="R108" s="303">
        <f t="shared" ref="R108:R119" si="7">M108-O108</f>
        <v>11</v>
      </c>
      <c r="S108" s="110">
        <v>17583</v>
      </c>
      <c r="T108" s="360">
        <f t="shared" si="6"/>
        <v>17583</v>
      </c>
      <c r="U108" s="349"/>
      <c r="V108" s="12"/>
      <c r="W108" s="118"/>
      <c r="X108" s="118"/>
      <c r="Y108" s="118"/>
      <c r="Z108" s="118"/>
      <c r="AA108" s="118"/>
      <c r="AB108" s="118"/>
      <c r="AC108" s="118"/>
      <c r="AD108" s="118"/>
      <c r="AE108" s="320"/>
      <c r="AF108" s="30"/>
      <c r="AG108" s="213"/>
      <c r="AH108" s="213"/>
      <c r="AI108" s="150"/>
      <c r="AJ108" s="30"/>
      <c r="AK108" s="151"/>
      <c r="AL108" s="150"/>
      <c r="AM108" s="30"/>
      <c r="AN108" s="30"/>
      <c r="AO108" s="30"/>
      <c r="AP108" s="30"/>
      <c r="AQ108" s="30"/>
      <c r="AR108" s="151"/>
      <c r="AS108" s="150"/>
      <c r="AT108" s="162"/>
      <c r="AU108" s="162"/>
      <c r="AV108" s="184">
        <v>46127</v>
      </c>
    </row>
    <row r="109" spans="1:48" s="66" customFormat="1" ht="21.95" customHeight="1" x14ac:dyDescent="0.25">
      <c r="A109" s="167">
        <v>111</v>
      </c>
      <c r="B109" s="167">
        <v>361</v>
      </c>
      <c r="C109" s="167" t="s">
        <v>788</v>
      </c>
      <c r="D109" s="167" t="s">
        <v>1084</v>
      </c>
      <c r="E109" s="167" t="s">
        <v>1090</v>
      </c>
      <c r="F109" s="167"/>
      <c r="G109" s="167"/>
      <c r="H109" s="73" t="s">
        <v>800</v>
      </c>
      <c r="I109" s="49"/>
      <c r="J109" s="49" t="s">
        <v>1531</v>
      </c>
      <c r="K109" s="418">
        <v>45318</v>
      </c>
      <c r="L109" s="416" t="s">
        <v>801</v>
      </c>
      <c r="M109" s="417">
        <v>23</v>
      </c>
      <c r="N109" s="417"/>
      <c r="O109" s="417"/>
      <c r="P109" s="418"/>
      <c r="Q109" s="416" t="s">
        <v>801</v>
      </c>
      <c r="R109" s="417">
        <f t="shared" si="7"/>
        <v>23</v>
      </c>
      <c r="S109" s="294">
        <v>45318</v>
      </c>
      <c r="T109" s="365">
        <f t="shared" si="6"/>
        <v>45318</v>
      </c>
      <c r="U109" s="351"/>
      <c r="V109" s="418"/>
      <c r="W109" s="417"/>
      <c r="X109" s="417"/>
      <c r="Y109" s="417"/>
      <c r="Z109" s="417"/>
      <c r="AA109" s="417"/>
      <c r="AB109" s="417"/>
      <c r="AC109" s="417"/>
      <c r="AD109" s="417"/>
      <c r="AE109" s="74"/>
      <c r="AF109" s="167"/>
      <c r="AG109" s="209"/>
      <c r="AH109" s="209"/>
      <c r="AI109" s="144"/>
      <c r="AJ109" s="167"/>
      <c r="AK109" s="145"/>
      <c r="AL109" s="144"/>
      <c r="AM109" s="167"/>
      <c r="AN109" s="167"/>
      <c r="AO109" s="167"/>
      <c r="AP109" s="167"/>
      <c r="AQ109" s="167"/>
      <c r="AR109" s="145"/>
      <c r="AS109" s="144" t="s">
        <v>571</v>
      </c>
      <c r="AT109" s="167">
        <v>1</v>
      </c>
      <c r="AU109" s="167"/>
      <c r="AV109" s="145"/>
    </row>
    <row r="110" spans="1:48" s="66" customFormat="1" ht="30" x14ac:dyDescent="0.25">
      <c r="A110" s="167">
        <v>112</v>
      </c>
      <c r="B110" s="167">
        <v>362</v>
      </c>
      <c r="C110" s="167" t="s">
        <v>789</v>
      </c>
      <c r="D110" s="502" t="s">
        <v>1554</v>
      </c>
      <c r="E110" s="167" t="s">
        <v>1554</v>
      </c>
      <c r="F110" s="269" t="s">
        <v>1197</v>
      </c>
      <c r="G110" s="167">
        <v>2</v>
      </c>
      <c r="H110" s="49" t="s">
        <v>803</v>
      </c>
      <c r="I110" s="49">
        <v>5919562</v>
      </c>
      <c r="J110" s="49" t="s">
        <v>802</v>
      </c>
      <c r="K110" s="240">
        <v>36316</v>
      </c>
      <c r="L110" s="241" t="s">
        <v>804</v>
      </c>
      <c r="M110" s="242">
        <v>14</v>
      </c>
      <c r="N110" s="304" t="s">
        <v>1452</v>
      </c>
      <c r="O110" s="304">
        <v>1.5</v>
      </c>
      <c r="P110" s="306">
        <v>6757</v>
      </c>
      <c r="Q110" s="302" t="s">
        <v>1457</v>
      </c>
      <c r="R110" s="304">
        <f t="shared" si="7"/>
        <v>12.5</v>
      </c>
      <c r="S110" s="294">
        <f>K110-P110</f>
        <v>29559</v>
      </c>
      <c r="T110" s="360">
        <f t="shared" si="6"/>
        <v>36316</v>
      </c>
      <c r="U110" s="351" t="s">
        <v>120</v>
      </c>
      <c r="V110" s="240"/>
      <c r="W110" s="400" t="s">
        <v>1455</v>
      </c>
      <c r="X110" s="242"/>
      <c r="Y110" s="242" t="s">
        <v>1454</v>
      </c>
      <c r="Z110" s="242"/>
      <c r="AA110" s="242"/>
      <c r="AB110" s="242"/>
      <c r="AC110" s="242" t="s">
        <v>1453</v>
      </c>
      <c r="AD110" s="242"/>
      <c r="AE110" s="74"/>
      <c r="AF110" s="167"/>
      <c r="AG110" s="209"/>
      <c r="AH110" s="209"/>
      <c r="AI110" s="144"/>
      <c r="AJ110" s="167"/>
      <c r="AK110" s="145"/>
      <c r="AL110" s="144"/>
      <c r="AM110" s="167"/>
      <c r="AN110" s="167"/>
      <c r="AO110" s="167"/>
      <c r="AP110" s="167"/>
      <c r="AQ110" s="167"/>
      <c r="AR110" s="145"/>
      <c r="AS110" s="144" t="s">
        <v>571</v>
      </c>
      <c r="AT110" s="167">
        <v>1</v>
      </c>
      <c r="AU110" s="167"/>
      <c r="AV110" s="145"/>
    </row>
    <row r="111" spans="1:48" ht="21.95" customHeight="1" x14ac:dyDescent="0.25">
      <c r="A111" s="167">
        <v>113</v>
      </c>
      <c r="B111" s="30">
        <v>363</v>
      </c>
      <c r="C111" s="30" t="s">
        <v>790</v>
      </c>
      <c r="D111" s="30"/>
      <c r="E111" s="30"/>
      <c r="F111" s="30"/>
      <c r="G111" s="30"/>
      <c r="H111" s="29" t="s">
        <v>792</v>
      </c>
      <c r="I111" s="29">
        <v>533496</v>
      </c>
      <c r="J111" s="29" t="s">
        <v>805</v>
      </c>
      <c r="K111" s="12">
        <v>5858</v>
      </c>
      <c r="L111" s="62" t="s">
        <v>806</v>
      </c>
      <c r="M111" s="118">
        <v>4</v>
      </c>
      <c r="N111" s="303"/>
      <c r="O111" s="303"/>
      <c r="P111" s="12"/>
      <c r="Q111" s="62" t="s">
        <v>806</v>
      </c>
      <c r="R111" s="303">
        <f t="shared" si="7"/>
        <v>4</v>
      </c>
      <c r="S111" s="110">
        <v>5858</v>
      </c>
      <c r="T111" s="360">
        <f t="shared" si="6"/>
        <v>5858</v>
      </c>
      <c r="U111" s="349"/>
      <c r="V111" s="12"/>
      <c r="W111" s="118"/>
      <c r="X111" s="118"/>
      <c r="Y111" s="118"/>
      <c r="Z111" s="118"/>
      <c r="AA111" s="118"/>
      <c r="AB111" s="118"/>
      <c r="AC111" s="118"/>
      <c r="AD111" s="118"/>
      <c r="AE111" s="320"/>
      <c r="AF111" s="30"/>
      <c r="AG111" s="213"/>
      <c r="AH111" s="213"/>
      <c r="AI111" s="150"/>
      <c r="AJ111" s="30"/>
      <c r="AK111" s="151"/>
      <c r="AL111" s="150"/>
      <c r="AM111" s="30"/>
      <c r="AN111" s="30"/>
      <c r="AO111" s="30"/>
      <c r="AP111" s="30"/>
      <c r="AQ111" s="30"/>
      <c r="AR111" s="151"/>
      <c r="AS111" s="150"/>
      <c r="AT111" s="162"/>
      <c r="AU111" s="162"/>
      <c r="AV111" s="143"/>
    </row>
    <row r="112" spans="1:48" ht="21.95" customHeight="1" x14ac:dyDescent="0.25">
      <c r="A112" s="167">
        <v>114</v>
      </c>
      <c r="B112" s="30">
        <v>364</v>
      </c>
      <c r="C112" s="30" t="s">
        <v>791</v>
      </c>
      <c r="D112" s="30"/>
      <c r="E112" s="30"/>
      <c r="F112" s="30"/>
      <c r="G112" s="30"/>
      <c r="H112" s="29" t="s">
        <v>807</v>
      </c>
      <c r="I112" s="29">
        <v>5992231</v>
      </c>
      <c r="J112" s="29" t="s">
        <v>808</v>
      </c>
      <c r="K112" s="12">
        <v>6121</v>
      </c>
      <c r="L112" s="62" t="s">
        <v>809</v>
      </c>
      <c r="M112" s="118">
        <v>5</v>
      </c>
      <c r="N112" s="303"/>
      <c r="O112" s="303"/>
      <c r="P112" s="12"/>
      <c r="Q112" s="62" t="s">
        <v>809</v>
      </c>
      <c r="R112" s="303">
        <f t="shared" si="7"/>
        <v>5</v>
      </c>
      <c r="S112" s="110">
        <v>6121</v>
      </c>
      <c r="T112" s="360">
        <f t="shared" si="6"/>
        <v>6121</v>
      </c>
      <c r="U112" s="349"/>
      <c r="V112" s="12"/>
      <c r="W112" s="118"/>
      <c r="X112" s="118"/>
      <c r="Y112" s="118"/>
      <c r="Z112" s="118"/>
      <c r="AA112" s="118"/>
      <c r="AB112" s="118"/>
      <c r="AC112" s="118"/>
      <c r="AD112" s="118"/>
      <c r="AE112" s="320"/>
      <c r="AF112" s="30"/>
      <c r="AG112" s="213"/>
      <c r="AH112" s="213"/>
      <c r="AI112" s="150"/>
      <c r="AJ112" s="30"/>
      <c r="AK112" s="151"/>
      <c r="AL112" s="150"/>
      <c r="AM112" s="30"/>
      <c r="AN112" s="30"/>
      <c r="AO112" s="30"/>
      <c r="AP112" s="30"/>
      <c r="AQ112" s="30"/>
      <c r="AR112" s="151"/>
      <c r="AS112" s="150"/>
      <c r="AT112" s="162"/>
      <c r="AU112" s="162"/>
      <c r="AV112" s="143"/>
    </row>
    <row r="113" spans="1:48" s="66" customFormat="1" ht="21.95" customHeight="1" x14ac:dyDescent="0.25">
      <c r="A113" s="167">
        <v>115</v>
      </c>
      <c r="B113" s="167">
        <v>365</v>
      </c>
      <c r="C113" s="167" t="s">
        <v>793</v>
      </c>
      <c r="D113" s="502" t="s">
        <v>1554</v>
      </c>
      <c r="E113" s="167" t="s">
        <v>345</v>
      </c>
      <c r="F113" s="268" t="s">
        <v>608</v>
      </c>
      <c r="G113" s="167">
        <v>1</v>
      </c>
      <c r="H113" s="49" t="s">
        <v>810</v>
      </c>
      <c r="I113" s="49" t="s">
        <v>812</v>
      </c>
      <c r="J113" s="49" t="s">
        <v>738</v>
      </c>
      <c r="K113" s="240">
        <v>15153</v>
      </c>
      <c r="L113" s="241" t="s">
        <v>814</v>
      </c>
      <c r="M113" s="242">
        <v>15</v>
      </c>
      <c r="N113" s="304" t="s">
        <v>1355</v>
      </c>
      <c r="O113" s="304">
        <v>3</v>
      </c>
      <c r="P113" s="306">
        <v>6290</v>
      </c>
      <c r="Q113" s="302" t="s">
        <v>814</v>
      </c>
      <c r="R113" s="304">
        <f t="shared" si="7"/>
        <v>12</v>
      </c>
      <c r="S113" s="294">
        <f>K113-P113</f>
        <v>8863</v>
      </c>
      <c r="T113" s="360">
        <f t="shared" si="6"/>
        <v>15153</v>
      </c>
      <c r="U113" s="351"/>
      <c r="V113" s="240"/>
      <c r="W113" s="242"/>
      <c r="X113" s="242"/>
      <c r="Y113" s="242">
        <v>2</v>
      </c>
      <c r="Z113" s="242"/>
      <c r="AA113" s="242"/>
      <c r="AB113" s="242">
        <v>1</v>
      </c>
      <c r="AC113" s="242"/>
      <c r="AD113" s="242"/>
      <c r="AE113" s="74"/>
      <c r="AF113" s="167" t="s">
        <v>1350</v>
      </c>
      <c r="AG113" s="167"/>
      <c r="AH113" s="209"/>
      <c r="AI113" s="144"/>
      <c r="AJ113" s="167"/>
      <c r="AK113" s="145"/>
      <c r="AL113" s="144"/>
      <c r="AM113" s="167"/>
      <c r="AN113" s="167"/>
      <c r="AO113" s="167"/>
      <c r="AP113" s="167"/>
      <c r="AQ113" s="167"/>
      <c r="AR113" s="145"/>
      <c r="AS113" s="144" t="s">
        <v>571</v>
      </c>
      <c r="AT113" s="167">
        <v>1</v>
      </c>
      <c r="AU113" s="167"/>
      <c r="AV113" s="145"/>
    </row>
    <row r="114" spans="1:48" s="66" customFormat="1" ht="21.95" customHeight="1" x14ac:dyDescent="0.25">
      <c r="A114" s="167">
        <v>116</v>
      </c>
      <c r="B114" s="167">
        <v>365</v>
      </c>
      <c r="C114" s="167" t="s">
        <v>793</v>
      </c>
      <c r="D114" s="502" t="s">
        <v>1554</v>
      </c>
      <c r="E114" s="167" t="s">
        <v>345</v>
      </c>
      <c r="F114" s="167"/>
      <c r="G114" s="167"/>
      <c r="H114" s="49" t="s">
        <v>811</v>
      </c>
      <c r="I114" s="49" t="s">
        <v>813</v>
      </c>
      <c r="J114" s="49" t="s">
        <v>738</v>
      </c>
      <c r="K114" s="240">
        <v>15152</v>
      </c>
      <c r="L114" s="241" t="s">
        <v>814</v>
      </c>
      <c r="M114" s="242">
        <v>15</v>
      </c>
      <c r="N114" s="392" t="s">
        <v>1356</v>
      </c>
      <c r="O114" s="392"/>
      <c r="P114" s="393">
        <v>2107</v>
      </c>
      <c r="Q114" s="391" t="s">
        <v>1366</v>
      </c>
      <c r="R114" s="392">
        <f t="shared" si="7"/>
        <v>15</v>
      </c>
      <c r="S114" s="294">
        <v>15154</v>
      </c>
      <c r="T114" s="360">
        <f t="shared" si="6"/>
        <v>17261</v>
      </c>
      <c r="U114" s="351"/>
      <c r="V114" s="240"/>
      <c r="W114" s="242" t="s">
        <v>1357</v>
      </c>
      <c r="X114" s="242"/>
      <c r="Y114" s="242"/>
      <c r="Z114" s="242"/>
      <c r="AA114" s="242" t="s">
        <v>1358</v>
      </c>
      <c r="AB114" s="242"/>
      <c r="AC114" s="242"/>
      <c r="AD114" s="242"/>
      <c r="AE114" s="74"/>
      <c r="AF114" s="167"/>
      <c r="AG114" s="167"/>
      <c r="AH114" s="209"/>
      <c r="AI114" s="144"/>
      <c r="AJ114" s="167"/>
      <c r="AK114" s="145"/>
      <c r="AL114" s="144"/>
      <c r="AM114" s="167"/>
      <c r="AN114" s="167"/>
      <c r="AO114" s="167"/>
      <c r="AP114" s="167"/>
      <c r="AQ114" s="167"/>
      <c r="AR114" s="145"/>
      <c r="AS114" s="144" t="s">
        <v>571</v>
      </c>
      <c r="AT114" s="167">
        <v>1</v>
      </c>
      <c r="AU114" s="167"/>
      <c r="AV114" s="145"/>
    </row>
    <row r="115" spans="1:48" ht="21.95" customHeight="1" x14ac:dyDescent="0.25">
      <c r="A115" s="167">
        <v>117</v>
      </c>
      <c r="B115" s="30">
        <v>366</v>
      </c>
      <c r="C115" s="30" t="s">
        <v>794</v>
      </c>
      <c r="D115" s="30"/>
      <c r="E115" s="30"/>
      <c r="F115" s="30"/>
      <c r="G115" s="30"/>
      <c r="H115" s="29" t="s">
        <v>797</v>
      </c>
      <c r="I115" s="118">
        <v>6184086</v>
      </c>
      <c r="J115" s="62" t="s">
        <v>815</v>
      </c>
      <c r="K115" s="12">
        <v>36910</v>
      </c>
      <c r="L115" s="62" t="s">
        <v>816</v>
      </c>
      <c r="M115" s="118">
        <v>3</v>
      </c>
      <c r="N115" s="303"/>
      <c r="O115" s="303"/>
      <c r="P115" s="12"/>
      <c r="Q115" s="62" t="s">
        <v>816</v>
      </c>
      <c r="R115" s="303">
        <f t="shared" si="7"/>
        <v>3</v>
      </c>
      <c r="S115" s="110">
        <v>21348</v>
      </c>
      <c r="T115" s="360">
        <f t="shared" si="6"/>
        <v>21348</v>
      </c>
      <c r="U115" s="349"/>
      <c r="V115" s="12"/>
      <c r="W115" s="118"/>
      <c r="X115" s="118"/>
      <c r="Y115" s="118"/>
      <c r="Z115" s="118"/>
      <c r="AA115" s="118"/>
      <c r="AB115" s="118"/>
      <c r="AC115" s="118"/>
      <c r="AD115" s="118"/>
      <c r="AE115" s="320"/>
      <c r="AF115" s="30"/>
      <c r="AG115" s="213"/>
      <c r="AH115" s="213"/>
      <c r="AI115" s="150"/>
      <c r="AJ115" s="30"/>
      <c r="AK115" s="151"/>
      <c r="AL115" s="150"/>
      <c r="AM115" s="30"/>
      <c r="AN115" s="30"/>
      <c r="AO115" s="30"/>
      <c r="AP115" s="30"/>
      <c r="AQ115" s="30"/>
      <c r="AR115" s="151"/>
      <c r="AS115" s="150"/>
      <c r="AT115" s="162"/>
      <c r="AU115" s="162"/>
      <c r="AV115" s="143"/>
    </row>
    <row r="116" spans="1:48" ht="21.95" customHeight="1" x14ac:dyDescent="0.25">
      <c r="A116" s="167">
        <v>118</v>
      </c>
      <c r="B116" s="30">
        <v>367</v>
      </c>
      <c r="C116" s="30" t="s">
        <v>795</v>
      </c>
      <c r="D116" s="30"/>
      <c r="E116" s="30"/>
      <c r="F116" s="30"/>
      <c r="G116" s="30"/>
      <c r="H116" s="29" t="s">
        <v>796</v>
      </c>
      <c r="I116" s="118">
        <v>3621091</v>
      </c>
      <c r="J116" s="62"/>
      <c r="K116" s="12">
        <v>1407</v>
      </c>
      <c r="L116" s="62" t="s">
        <v>817</v>
      </c>
      <c r="M116" s="118">
        <v>3</v>
      </c>
      <c r="N116" s="303"/>
      <c r="O116" s="303"/>
      <c r="P116" s="12"/>
      <c r="Q116" s="62" t="s">
        <v>817</v>
      </c>
      <c r="R116" s="303">
        <f t="shared" si="7"/>
        <v>3</v>
      </c>
      <c r="S116" s="110">
        <v>1407</v>
      </c>
      <c r="T116" s="360">
        <f t="shared" si="6"/>
        <v>1407</v>
      </c>
      <c r="U116" s="349"/>
      <c r="V116" s="12"/>
      <c r="W116" s="118"/>
      <c r="X116" s="118"/>
      <c r="Y116" s="118"/>
      <c r="Z116" s="118"/>
      <c r="AA116" s="118"/>
      <c r="AB116" s="118"/>
      <c r="AC116" s="118"/>
      <c r="AD116" s="118"/>
      <c r="AE116" s="320"/>
      <c r="AF116" s="30"/>
      <c r="AG116" s="213"/>
      <c r="AH116" s="213"/>
      <c r="AI116" s="150"/>
      <c r="AJ116" s="30"/>
      <c r="AK116" s="151"/>
      <c r="AL116" s="150"/>
      <c r="AM116" s="30"/>
      <c r="AN116" s="30"/>
      <c r="AO116" s="30"/>
      <c r="AP116" s="30"/>
      <c r="AQ116" s="30"/>
      <c r="AR116" s="151"/>
      <c r="AS116" s="150"/>
      <c r="AT116" s="162"/>
      <c r="AU116" s="162"/>
      <c r="AV116" s="143"/>
    </row>
    <row r="117" spans="1:48" ht="24.75" customHeight="1" x14ac:dyDescent="0.25">
      <c r="A117" s="167">
        <v>119</v>
      </c>
      <c r="B117" s="167">
        <v>368</v>
      </c>
      <c r="C117" s="167" t="s">
        <v>798</v>
      </c>
      <c r="D117" s="167" t="s">
        <v>1084</v>
      </c>
      <c r="E117" s="167" t="s">
        <v>1084</v>
      </c>
      <c r="F117" s="167"/>
      <c r="G117" s="167"/>
      <c r="H117" s="49" t="s">
        <v>799</v>
      </c>
      <c r="I117" s="441">
        <v>6439980</v>
      </c>
      <c r="J117" s="439" t="s">
        <v>704</v>
      </c>
      <c r="K117" s="442">
        <v>28256</v>
      </c>
      <c r="L117" s="439" t="s">
        <v>827</v>
      </c>
      <c r="M117" s="441">
        <v>4</v>
      </c>
      <c r="N117" s="441"/>
      <c r="O117" s="441"/>
      <c r="P117" s="442"/>
      <c r="Q117" s="129" t="s">
        <v>827</v>
      </c>
      <c r="R117" s="441">
        <f t="shared" si="7"/>
        <v>4</v>
      </c>
      <c r="S117" s="294">
        <v>28256</v>
      </c>
      <c r="T117" s="365">
        <f t="shared" si="6"/>
        <v>28256</v>
      </c>
      <c r="U117" s="351"/>
      <c r="V117" s="442"/>
      <c r="W117" s="441"/>
      <c r="X117" s="441"/>
      <c r="Y117" s="441"/>
      <c r="Z117" s="441"/>
      <c r="AA117" s="441"/>
      <c r="AB117" s="441"/>
      <c r="AC117" s="441"/>
      <c r="AD117" s="441"/>
      <c r="AE117" s="74"/>
      <c r="AF117" s="167"/>
      <c r="AG117" s="209"/>
      <c r="AH117" s="209"/>
      <c r="AI117" s="144"/>
      <c r="AJ117" s="167"/>
      <c r="AK117" s="145"/>
      <c r="AL117" s="144"/>
      <c r="AM117" s="167"/>
      <c r="AN117" s="167"/>
      <c r="AO117" s="167"/>
      <c r="AP117" s="167"/>
      <c r="AQ117" s="167"/>
      <c r="AR117" s="145"/>
      <c r="AS117" s="144" t="s">
        <v>571</v>
      </c>
      <c r="AT117" s="167">
        <v>1</v>
      </c>
      <c r="AU117" s="167"/>
      <c r="AV117" s="143"/>
    </row>
    <row r="118" spans="1:48" ht="30" x14ac:dyDescent="0.25">
      <c r="A118" s="167">
        <v>120</v>
      </c>
      <c r="B118" s="7">
        <v>369</v>
      </c>
      <c r="C118" s="7" t="s">
        <v>852</v>
      </c>
      <c r="D118" s="502" t="s">
        <v>1554</v>
      </c>
      <c r="E118" s="49" t="s">
        <v>1555</v>
      </c>
      <c r="F118" s="268" t="s">
        <v>717</v>
      </c>
      <c r="G118" s="7">
        <v>1</v>
      </c>
      <c r="H118" s="49" t="s">
        <v>822</v>
      </c>
      <c r="I118" s="119" t="s">
        <v>853</v>
      </c>
      <c r="J118" s="117" t="s">
        <v>205</v>
      </c>
      <c r="K118" s="9">
        <v>6059</v>
      </c>
      <c r="L118" s="117" t="s">
        <v>854</v>
      </c>
      <c r="M118" s="119">
        <v>5</v>
      </c>
      <c r="N118" s="310" t="s">
        <v>864</v>
      </c>
      <c r="O118" s="304">
        <v>1</v>
      </c>
      <c r="P118" s="337">
        <v>3653.68</v>
      </c>
      <c r="Q118" s="310" t="s">
        <v>1226</v>
      </c>
      <c r="R118" s="316">
        <v>2</v>
      </c>
      <c r="S118" s="342">
        <v>2401</v>
      </c>
      <c r="T118" s="360">
        <f t="shared" si="6"/>
        <v>6054.68</v>
      </c>
      <c r="U118" s="351"/>
      <c r="V118" s="9"/>
      <c r="W118" s="119"/>
      <c r="X118" s="119"/>
      <c r="Y118" s="119"/>
      <c r="Z118" s="119"/>
      <c r="AA118" s="119"/>
      <c r="AB118" s="119"/>
      <c r="AC118" s="189"/>
      <c r="AD118" s="119"/>
      <c r="AE118" s="74" t="s">
        <v>867</v>
      </c>
      <c r="AF118" s="323"/>
      <c r="AG118" s="167"/>
      <c r="AH118" s="209"/>
      <c r="AI118" s="144"/>
      <c r="AJ118" s="7" t="s">
        <v>948</v>
      </c>
      <c r="AK118" s="145"/>
      <c r="AL118" s="144" t="s">
        <v>1022</v>
      </c>
      <c r="AM118" s="4" t="s">
        <v>945</v>
      </c>
      <c r="AN118" s="4" t="s">
        <v>945</v>
      </c>
      <c r="AO118" s="7" t="s">
        <v>955</v>
      </c>
      <c r="AP118" s="7" t="s">
        <v>948</v>
      </c>
      <c r="AQ118" s="7" t="s">
        <v>948</v>
      </c>
      <c r="AR118" s="145" t="s">
        <v>948</v>
      </c>
      <c r="AS118" s="144" t="s">
        <v>571</v>
      </c>
      <c r="AT118" s="167">
        <v>1</v>
      </c>
      <c r="AU118" s="167"/>
      <c r="AV118" s="143"/>
    </row>
    <row r="119" spans="1:48" ht="21.95" customHeight="1" x14ac:dyDescent="0.25">
      <c r="A119" s="167">
        <v>121</v>
      </c>
      <c r="B119" s="30">
        <v>370</v>
      </c>
      <c r="C119" s="30" t="s">
        <v>825</v>
      </c>
      <c r="D119" s="30"/>
      <c r="E119" s="30"/>
      <c r="F119" s="30"/>
      <c r="G119" s="30"/>
      <c r="H119" s="29" t="s">
        <v>826</v>
      </c>
      <c r="I119" s="118"/>
      <c r="J119" s="62"/>
      <c r="K119" s="12"/>
      <c r="L119" s="62"/>
      <c r="M119" s="118"/>
      <c r="N119" s="303"/>
      <c r="O119" s="303"/>
      <c r="P119" s="12"/>
      <c r="Q119" s="303"/>
      <c r="R119" s="303">
        <f t="shared" si="7"/>
        <v>0</v>
      </c>
      <c r="S119" s="110">
        <v>59418</v>
      </c>
      <c r="T119" s="360">
        <f t="shared" si="6"/>
        <v>59418</v>
      </c>
      <c r="U119" s="349"/>
      <c r="V119" s="12"/>
      <c r="W119" s="118"/>
      <c r="X119" s="118"/>
      <c r="Y119" s="118"/>
      <c r="Z119" s="118"/>
      <c r="AA119" s="118"/>
      <c r="AB119" s="118"/>
      <c r="AC119" s="118"/>
      <c r="AD119" s="118"/>
      <c r="AE119" s="320"/>
      <c r="AF119" s="30"/>
      <c r="AG119" s="213"/>
      <c r="AH119" s="213"/>
      <c r="AI119" s="150"/>
      <c r="AJ119" s="30"/>
      <c r="AK119" s="151"/>
      <c r="AL119" s="150"/>
      <c r="AM119" s="30"/>
      <c r="AN119" s="30"/>
      <c r="AO119" s="30"/>
      <c r="AP119" s="30"/>
      <c r="AQ119" s="30"/>
      <c r="AR119" s="151"/>
      <c r="AS119" s="150"/>
      <c r="AT119" s="162"/>
      <c r="AU119" s="162"/>
      <c r="AV119" s="143"/>
    </row>
    <row r="120" spans="1:48" ht="30" x14ac:dyDescent="0.25">
      <c r="A120" s="167">
        <v>122</v>
      </c>
      <c r="B120" s="30">
        <v>372</v>
      </c>
      <c r="C120" s="30" t="s">
        <v>821</v>
      </c>
      <c r="D120" s="30"/>
      <c r="E120" s="30"/>
      <c r="F120" s="30"/>
      <c r="G120" s="30"/>
      <c r="H120" s="29" t="s">
        <v>874</v>
      </c>
      <c r="I120" s="118"/>
      <c r="J120" s="62"/>
      <c r="K120" s="12"/>
      <c r="L120" s="118"/>
      <c r="M120" s="118"/>
      <c r="N120" s="303"/>
      <c r="O120" s="303"/>
      <c r="P120" s="12"/>
      <c r="Q120" s="303"/>
      <c r="R120" s="303"/>
      <c r="S120" s="110">
        <v>8393</v>
      </c>
      <c r="T120" s="360">
        <f t="shared" si="6"/>
        <v>8393</v>
      </c>
      <c r="U120" s="349"/>
      <c r="V120" s="12"/>
      <c r="W120" s="118"/>
      <c r="X120" s="118"/>
      <c r="Y120" s="118"/>
      <c r="Z120" s="118"/>
      <c r="AA120" s="118"/>
      <c r="AB120" s="118"/>
      <c r="AC120" s="118"/>
      <c r="AD120" s="118"/>
      <c r="AE120" s="320"/>
      <c r="AF120" s="30"/>
      <c r="AG120" s="213"/>
      <c r="AH120" s="213"/>
      <c r="AI120" s="150"/>
      <c r="AJ120" s="30"/>
      <c r="AK120" s="151"/>
      <c r="AL120" s="150"/>
      <c r="AM120" s="30"/>
      <c r="AN120" s="30"/>
      <c r="AO120" s="30"/>
      <c r="AP120" s="30"/>
      <c r="AQ120" s="30"/>
      <c r="AR120" s="151"/>
      <c r="AS120" s="150"/>
      <c r="AT120" s="162"/>
      <c r="AU120" s="162"/>
      <c r="AV120" s="143"/>
    </row>
    <row r="121" spans="1:48" ht="21.95" customHeight="1" x14ac:dyDescent="0.25">
      <c r="A121" s="167">
        <v>123</v>
      </c>
      <c r="B121" s="167">
        <v>373</v>
      </c>
      <c r="C121" s="167" t="s">
        <v>855</v>
      </c>
      <c r="D121" s="167" t="s">
        <v>1084</v>
      </c>
      <c r="E121" s="167" t="s">
        <v>1084</v>
      </c>
      <c r="F121" s="167"/>
      <c r="G121" s="167"/>
      <c r="H121" s="73" t="s">
        <v>875</v>
      </c>
      <c r="I121" s="441">
        <v>3520509</v>
      </c>
      <c r="J121" s="439" t="s">
        <v>856</v>
      </c>
      <c r="K121" s="442">
        <f>504+495+284</f>
        <v>1283</v>
      </c>
      <c r="L121" s="441" t="s">
        <v>909</v>
      </c>
      <c r="M121" s="441">
        <v>3</v>
      </c>
      <c r="N121" s="441"/>
      <c r="O121" s="441"/>
      <c r="P121" s="442"/>
      <c r="Q121" s="441"/>
      <c r="R121" s="441">
        <f>M121-O121</f>
        <v>3</v>
      </c>
      <c r="S121" s="294">
        <v>1284</v>
      </c>
      <c r="T121" s="365">
        <f t="shared" si="6"/>
        <v>1284</v>
      </c>
      <c r="U121" s="351"/>
      <c r="V121" s="442"/>
      <c r="W121" s="441"/>
      <c r="X121" s="441"/>
      <c r="Y121" s="441"/>
      <c r="Z121" s="441"/>
      <c r="AA121" s="441"/>
      <c r="AB121" s="441"/>
      <c r="AC121" s="441"/>
      <c r="AD121" s="441"/>
      <c r="AE121" s="74"/>
      <c r="AF121" s="167"/>
      <c r="AG121" s="209"/>
      <c r="AH121" s="209"/>
      <c r="AI121" s="144"/>
      <c r="AJ121" s="167"/>
      <c r="AK121" s="145"/>
      <c r="AL121" s="144"/>
      <c r="AM121" s="167"/>
      <c r="AN121" s="167"/>
      <c r="AO121" s="167"/>
      <c r="AP121" s="167"/>
      <c r="AQ121" s="167"/>
      <c r="AR121" s="145"/>
      <c r="AS121" s="144" t="s">
        <v>571</v>
      </c>
      <c r="AT121" s="167">
        <v>1</v>
      </c>
      <c r="AU121" s="162"/>
      <c r="AV121" s="143"/>
    </row>
    <row r="122" spans="1:48" s="66" customFormat="1" ht="21.95" customHeight="1" x14ac:dyDescent="0.25">
      <c r="A122" s="167">
        <v>124</v>
      </c>
      <c r="B122" s="167">
        <v>374</v>
      </c>
      <c r="C122" s="167" t="s">
        <v>857</v>
      </c>
      <c r="D122" s="502" t="s">
        <v>1084</v>
      </c>
      <c r="E122" s="167" t="s">
        <v>1090</v>
      </c>
      <c r="F122" s="167"/>
      <c r="G122" s="167"/>
      <c r="H122" s="49" t="s">
        <v>876</v>
      </c>
      <c r="I122" s="388" t="s">
        <v>858</v>
      </c>
      <c r="J122" s="387" t="s">
        <v>859</v>
      </c>
      <c r="K122" s="389">
        <f>2545+660+2644+5</f>
        <v>5854</v>
      </c>
      <c r="L122" s="388" t="s">
        <v>908</v>
      </c>
      <c r="M122" s="388">
        <v>3</v>
      </c>
      <c r="N122" s="388"/>
      <c r="O122" s="388"/>
      <c r="P122" s="389"/>
      <c r="Q122" s="388"/>
      <c r="R122" s="388">
        <f>M122-O122</f>
        <v>3</v>
      </c>
      <c r="S122" s="294">
        <v>5853</v>
      </c>
      <c r="T122" s="365">
        <f t="shared" si="6"/>
        <v>5853</v>
      </c>
      <c r="U122" s="351"/>
      <c r="V122" s="389"/>
      <c r="W122" s="388"/>
      <c r="X122" s="388" t="s">
        <v>1521</v>
      </c>
      <c r="Y122" s="388"/>
      <c r="Z122" s="388"/>
      <c r="AA122" s="388"/>
      <c r="AB122" s="388"/>
      <c r="AC122" s="388"/>
      <c r="AD122" s="388"/>
      <c r="AE122" s="74"/>
      <c r="AF122" s="167"/>
      <c r="AG122" s="209"/>
      <c r="AH122" s="209"/>
      <c r="AI122" s="144"/>
      <c r="AJ122" s="167"/>
      <c r="AK122" s="145"/>
      <c r="AL122" s="144"/>
      <c r="AM122" s="167"/>
      <c r="AN122" s="167"/>
      <c r="AO122" s="167"/>
      <c r="AP122" s="167"/>
      <c r="AQ122" s="167"/>
      <c r="AR122" s="145"/>
      <c r="AS122" s="144" t="s">
        <v>571</v>
      </c>
      <c r="AT122" s="167">
        <v>1</v>
      </c>
      <c r="AU122" s="167"/>
      <c r="AV122" s="145"/>
    </row>
    <row r="123" spans="1:48" ht="21.95" customHeight="1" x14ac:dyDescent="0.25">
      <c r="A123" s="167">
        <v>126</v>
      </c>
      <c r="B123" s="217">
        <v>376</v>
      </c>
      <c r="C123" s="167" t="s">
        <v>861</v>
      </c>
      <c r="D123" s="167" t="s">
        <v>1084</v>
      </c>
      <c r="E123" s="167" t="s">
        <v>1091</v>
      </c>
      <c r="F123" s="167"/>
      <c r="G123" s="167"/>
      <c r="H123" s="73" t="s">
        <v>877</v>
      </c>
      <c r="I123" s="218">
        <v>599562</v>
      </c>
      <c r="J123" s="490" t="s">
        <v>904</v>
      </c>
      <c r="K123" s="491">
        <v>8560</v>
      </c>
      <c r="L123" s="218" t="s">
        <v>905</v>
      </c>
      <c r="M123" s="218">
        <v>5</v>
      </c>
      <c r="N123" s="218"/>
      <c r="O123" s="218"/>
      <c r="P123" s="491"/>
      <c r="Q123" s="218"/>
      <c r="R123" s="218">
        <f>M123-O123</f>
        <v>5</v>
      </c>
      <c r="S123" s="492">
        <v>8560</v>
      </c>
      <c r="T123" s="493">
        <f t="shared" si="6"/>
        <v>8560</v>
      </c>
      <c r="U123" s="494"/>
      <c r="V123" s="491"/>
      <c r="W123" s="218"/>
      <c r="X123" s="218"/>
      <c r="Y123" s="218"/>
      <c r="Z123" s="218"/>
      <c r="AA123" s="218"/>
      <c r="AB123" s="218"/>
      <c r="AC123" s="218"/>
      <c r="AD123" s="218"/>
      <c r="AE123" s="495"/>
      <c r="AF123" s="217"/>
      <c r="AG123" s="496"/>
      <c r="AH123" s="496"/>
      <c r="AI123" s="497"/>
      <c r="AJ123" s="217"/>
      <c r="AK123" s="498"/>
      <c r="AL123" s="497"/>
      <c r="AM123" s="217"/>
      <c r="AN123" s="217"/>
      <c r="AO123" s="217"/>
      <c r="AP123" s="217"/>
      <c r="AQ123" s="217"/>
      <c r="AR123" s="498"/>
      <c r="AS123" s="497"/>
      <c r="AT123" s="217"/>
      <c r="AU123" s="217"/>
      <c r="AV123" s="498"/>
    </row>
    <row r="124" spans="1:48" ht="21.95" customHeight="1" x14ac:dyDescent="0.25">
      <c r="A124" s="167">
        <v>127</v>
      </c>
      <c r="B124" s="167">
        <v>378</v>
      </c>
      <c r="C124" s="167" t="s">
        <v>863</v>
      </c>
      <c r="D124" s="502" t="s">
        <v>1084</v>
      </c>
      <c r="E124" s="167" t="s">
        <v>346</v>
      </c>
      <c r="F124" s="167"/>
      <c r="G124" s="167"/>
      <c r="H124" s="49" t="s">
        <v>879</v>
      </c>
      <c r="I124" s="287">
        <v>6731162</v>
      </c>
      <c r="J124" s="286" t="s">
        <v>902</v>
      </c>
      <c r="K124" s="285">
        <v>26376</v>
      </c>
      <c r="L124" s="287" t="s">
        <v>903</v>
      </c>
      <c r="M124" s="287">
        <v>11</v>
      </c>
      <c r="N124" s="312" t="s">
        <v>1400</v>
      </c>
      <c r="O124" s="304">
        <v>0.75</v>
      </c>
      <c r="P124" s="313">
        <v>3940</v>
      </c>
      <c r="Q124" s="312" t="s">
        <v>1424</v>
      </c>
      <c r="R124" s="312">
        <f>M124-O124</f>
        <v>10.25</v>
      </c>
      <c r="S124" s="341">
        <f>K124-P124</f>
        <v>22436</v>
      </c>
      <c r="T124" s="360">
        <f t="shared" si="6"/>
        <v>26376</v>
      </c>
      <c r="U124" s="351"/>
      <c r="V124" s="285"/>
      <c r="W124" s="287" t="s">
        <v>1401</v>
      </c>
      <c r="X124" s="287"/>
      <c r="Y124" s="287"/>
      <c r="Z124" s="287"/>
      <c r="AA124" s="392" t="s">
        <v>1403</v>
      </c>
      <c r="AB124" s="287"/>
      <c r="AC124" s="287" t="s">
        <v>1402</v>
      </c>
      <c r="AD124" s="287" t="s">
        <v>1405</v>
      </c>
      <c r="AE124" s="74" t="s">
        <v>1404</v>
      </c>
      <c r="AF124" s="325"/>
      <c r="AG124" s="209"/>
      <c r="AH124" s="209"/>
      <c r="AI124" s="144"/>
      <c r="AJ124" s="167"/>
      <c r="AK124" s="145"/>
      <c r="AL124" s="144"/>
      <c r="AM124" s="167"/>
      <c r="AN124" s="167"/>
      <c r="AO124" s="167"/>
      <c r="AP124" s="167"/>
      <c r="AQ124" s="167"/>
      <c r="AR124" s="145"/>
      <c r="AS124" s="144" t="s">
        <v>571</v>
      </c>
      <c r="AT124" s="167">
        <v>1</v>
      </c>
      <c r="AU124" s="167"/>
      <c r="AV124" s="145"/>
    </row>
    <row r="125" spans="1:48" ht="21.95" customHeight="1" x14ac:dyDescent="0.25">
      <c r="A125" s="167">
        <v>128</v>
      </c>
      <c r="B125" s="167">
        <v>380</v>
      </c>
      <c r="C125" s="167" t="s">
        <v>882</v>
      </c>
      <c r="D125" s="502" t="s">
        <v>1084</v>
      </c>
      <c r="E125" s="167" t="s">
        <v>1090</v>
      </c>
      <c r="F125" s="167"/>
      <c r="G125" s="167"/>
      <c r="H125" s="49" t="s">
        <v>1237</v>
      </c>
      <c r="I125" s="417" t="s">
        <v>883</v>
      </c>
      <c r="J125" s="416" t="s">
        <v>738</v>
      </c>
      <c r="K125" s="418">
        <v>30065</v>
      </c>
      <c r="L125" s="417" t="s">
        <v>901</v>
      </c>
      <c r="M125" s="417">
        <v>17</v>
      </c>
      <c r="N125" s="417"/>
      <c r="O125" s="417"/>
      <c r="P125" s="418"/>
      <c r="Q125" s="417"/>
      <c r="R125" s="417">
        <f t="shared" ref="R125:R130" si="8">M125-O125</f>
        <v>17</v>
      </c>
      <c r="S125" s="294">
        <v>30065</v>
      </c>
      <c r="T125" s="365">
        <f t="shared" si="6"/>
        <v>30065</v>
      </c>
      <c r="U125" s="351"/>
      <c r="V125" s="418"/>
      <c r="W125" s="417"/>
      <c r="X125" s="417"/>
      <c r="Y125" s="417"/>
      <c r="Z125" s="417"/>
      <c r="AA125" s="417"/>
      <c r="AB125" s="417"/>
      <c r="AC125" s="417"/>
      <c r="AD125" s="417"/>
      <c r="AE125" s="74"/>
      <c r="AF125" s="167"/>
      <c r="AG125" s="209"/>
      <c r="AH125" s="209"/>
      <c r="AI125" s="144"/>
      <c r="AJ125" s="167"/>
      <c r="AK125" s="145"/>
      <c r="AL125" s="144"/>
      <c r="AM125" s="167"/>
      <c r="AN125" s="167"/>
      <c r="AO125" s="167"/>
      <c r="AP125" s="167"/>
      <c r="AQ125" s="167"/>
      <c r="AR125" s="145"/>
      <c r="AS125" s="144" t="s">
        <v>571</v>
      </c>
      <c r="AT125" s="167">
        <v>1</v>
      </c>
      <c r="AU125" s="162"/>
      <c r="AV125" s="143"/>
    </row>
    <row r="126" spans="1:48" ht="30" x14ac:dyDescent="0.25">
      <c r="A126" s="167">
        <v>129</v>
      </c>
      <c r="B126" s="167">
        <v>381</v>
      </c>
      <c r="C126" s="167" t="s">
        <v>884</v>
      </c>
      <c r="D126" s="502" t="s">
        <v>1554</v>
      </c>
      <c r="E126" s="49" t="s">
        <v>1555</v>
      </c>
      <c r="F126" s="167"/>
      <c r="G126" s="167"/>
      <c r="H126" s="49" t="s">
        <v>885</v>
      </c>
      <c r="I126" s="244">
        <v>5912862</v>
      </c>
      <c r="J126" s="243" t="s">
        <v>886</v>
      </c>
      <c r="K126" s="245">
        <f>1145+958+1067</f>
        <v>3170</v>
      </c>
      <c r="L126" s="244" t="s">
        <v>900</v>
      </c>
      <c r="M126" s="244">
        <v>3</v>
      </c>
      <c r="N126" s="310"/>
      <c r="O126" s="304"/>
      <c r="P126" s="337"/>
      <c r="Q126" s="310"/>
      <c r="R126" s="316">
        <v>3</v>
      </c>
      <c r="S126" s="342">
        <v>3170</v>
      </c>
      <c r="T126" s="360">
        <f t="shared" si="6"/>
        <v>3170</v>
      </c>
      <c r="U126" s="351"/>
      <c r="V126" s="245"/>
      <c r="W126" s="244"/>
      <c r="X126" s="244"/>
      <c r="Y126" s="244" t="s">
        <v>1317</v>
      </c>
      <c r="Z126" s="244"/>
      <c r="AA126" s="244"/>
      <c r="AB126" s="244"/>
      <c r="AC126" s="244"/>
      <c r="AD126" s="244"/>
      <c r="AE126" s="74"/>
      <c r="AF126" s="323"/>
      <c r="AG126" s="167"/>
      <c r="AH126" s="209"/>
      <c r="AI126" s="144"/>
      <c r="AJ126" s="167"/>
      <c r="AK126" s="145"/>
      <c r="AL126" s="144"/>
      <c r="AM126" s="167"/>
      <c r="AN126" s="167"/>
      <c r="AO126" s="167"/>
      <c r="AP126" s="167"/>
      <c r="AQ126" s="167"/>
      <c r="AR126" s="145"/>
      <c r="AS126" s="144" t="s">
        <v>1141</v>
      </c>
      <c r="AT126" s="167">
        <v>1</v>
      </c>
      <c r="AU126" s="167"/>
      <c r="AV126" s="145"/>
    </row>
    <row r="127" spans="1:48" ht="31.5" x14ac:dyDescent="0.25">
      <c r="A127" s="167">
        <v>130</v>
      </c>
      <c r="B127" s="30">
        <v>383</v>
      </c>
      <c r="C127" s="30" t="s">
        <v>890</v>
      </c>
      <c r="D127" s="30"/>
      <c r="E127" s="30"/>
      <c r="F127" s="30"/>
      <c r="G127" s="30"/>
      <c r="H127" s="29" t="s">
        <v>120</v>
      </c>
      <c r="I127" s="118">
        <v>3321863</v>
      </c>
      <c r="J127" s="62" t="s">
        <v>460</v>
      </c>
      <c r="K127" s="12">
        <f>1235+697</f>
        <v>1932</v>
      </c>
      <c r="L127" s="118" t="s">
        <v>195</v>
      </c>
      <c r="M127" s="118">
        <v>2</v>
      </c>
      <c r="N127" s="303"/>
      <c r="O127" s="303"/>
      <c r="P127" s="12"/>
      <c r="Q127" s="303"/>
      <c r="R127" s="303">
        <f t="shared" si="8"/>
        <v>2</v>
      </c>
      <c r="S127" s="110">
        <v>1931</v>
      </c>
      <c r="T127" s="360">
        <f t="shared" si="6"/>
        <v>1931</v>
      </c>
      <c r="U127" s="349"/>
      <c r="V127" s="12"/>
      <c r="W127" s="118"/>
      <c r="X127" s="118"/>
      <c r="Y127" s="118"/>
      <c r="Z127" s="118"/>
      <c r="AA127" s="118"/>
      <c r="AB127" s="118"/>
      <c r="AC127" s="118"/>
      <c r="AD127" s="118"/>
      <c r="AE127" s="320"/>
      <c r="AF127" s="30"/>
      <c r="AG127" s="213"/>
      <c r="AH127" s="213"/>
      <c r="AI127" s="150"/>
      <c r="AJ127" s="30"/>
      <c r="AK127" s="151"/>
      <c r="AL127" s="150"/>
      <c r="AM127" s="30"/>
      <c r="AN127" s="30"/>
      <c r="AO127" s="30"/>
      <c r="AP127" s="30"/>
      <c r="AQ127" s="30"/>
      <c r="AR127" s="151"/>
      <c r="AS127" s="150"/>
      <c r="AT127" s="162"/>
      <c r="AU127" s="162"/>
      <c r="AV127" s="143"/>
    </row>
    <row r="128" spans="1:48" ht="21.95" customHeight="1" x14ac:dyDescent="0.25">
      <c r="A128" s="167">
        <v>131</v>
      </c>
      <c r="B128" s="167">
        <v>384</v>
      </c>
      <c r="C128" s="167" t="s">
        <v>891</v>
      </c>
      <c r="D128" s="502" t="s">
        <v>1084</v>
      </c>
      <c r="E128" s="167" t="s">
        <v>1091</v>
      </c>
      <c r="F128" s="167"/>
      <c r="G128" s="167"/>
      <c r="H128" s="49" t="s">
        <v>892</v>
      </c>
      <c r="I128" s="253" t="s">
        <v>897</v>
      </c>
      <c r="J128" s="252" t="s">
        <v>893</v>
      </c>
      <c r="K128" s="254">
        <f>1025+(955*5)+857+367</f>
        <v>7024</v>
      </c>
      <c r="L128" s="253" t="s">
        <v>898</v>
      </c>
      <c r="M128" s="253">
        <v>8</v>
      </c>
      <c r="N128" s="304"/>
      <c r="O128" s="304"/>
      <c r="P128" s="306"/>
      <c r="Q128" s="304"/>
      <c r="R128" s="83">
        <f t="shared" si="8"/>
        <v>8</v>
      </c>
      <c r="S128" s="294">
        <v>7023</v>
      </c>
      <c r="T128" s="360">
        <f t="shared" si="6"/>
        <v>7023</v>
      </c>
      <c r="U128" s="351"/>
      <c r="V128" s="254"/>
      <c r="W128" s="253"/>
      <c r="X128" s="253"/>
      <c r="Y128" s="253">
        <v>1</v>
      </c>
      <c r="Z128" s="253"/>
      <c r="AA128" s="253"/>
      <c r="AB128" s="253"/>
      <c r="AC128" s="253"/>
      <c r="AD128" s="253"/>
      <c r="AE128" s="74"/>
      <c r="AF128" s="167"/>
      <c r="AG128" s="209"/>
      <c r="AH128" s="209"/>
      <c r="AI128" s="144"/>
      <c r="AJ128" s="167"/>
      <c r="AK128" s="145"/>
      <c r="AL128" s="144"/>
      <c r="AM128" s="167"/>
      <c r="AN128" s="167"/>
      <c r="AO128" s="167"/>
      <c r="AP128" s="167"/>
      <c r="AQ128" s="167"/>
      <c r="AR128" s="145"/>
      <c r="AS128" s="144" t="s">
        <v>1141</v>
      </c>
      <c r="AT128" s="167">
        <v>1</v>
      </c>
      <c r="AU128" s="162"/>
      <c r="AV128" s="143"/>
    </row>
    <row r="129" spans="1:48" ht="21.95" customHeight="1" x14ac:dyDescent="0.25">
      <c r="A129" s="167">
        <v>132</v>
      </c>
      <c r="B129" s="30">
        <v>385</v>
      </c>
      <c r="C129" s="30" t="s">
        <v>894</v>
      </c>
      <c r="D129" s="30"/>
      <c r="E129" s="30" t="s">
        <v>1425</v>
      </c>
      <c r="F129" s="30"/>
      <c r="G129" s="30"/>
      <c r="H129" s="29" t="s">
        <v>895</v>
      </c>
      <c r="I129" s="118" t="s">
        <v>896</v>
      </c>
      <c r="J129" s="62" t="s">
        <v>893</v>
      </c>
      <c r="K129" s="12">
        <f>1110+(3*1063)+1000+92</f>
        <v>5391</v>
      </c>
      <c r="L129" s="118" t="s">
        <v>372</v>
      </c>
      <c r="M129" s="118">
        <v>6</v>
      </c>
      <c r="N129" s="303" t="s">
        <v>1426</v>
      </c>
      <c r="O129" s="303"/>
      <c r="P129" s="12"/>
      <c r="Q129" s="303"/>
      <c r="R129" s="57"/>
      <c r="S129" s="110"/>
      <c r="T129" s="360"/>
      <c r="U129" s="349"/>
      <c r="V129" s="12"/>
      <c r="W129" s="118"/>
      <c r="X129" s="118"/>
      <c r="Y129" s="118"/>
      <c r="Z129" s="118"/>
      <c r="AA129" s="118"/>
      <c r="AB129" s="118"/>
      <c r="AC129" s="118"/>
      <c r="AD129" s="118"/>
      <c r="AE129" s="320"/>
      <c r="AF129" s="30"/>
      <c r="AG129" s="213"/>
      <c r="AH129" s="213"/>
      <c r="AI129" s="150"/>
      <c r="AJ129" s="30"/>
      <c r="AK129" s="151"/>
      <c r="AL129" s="150"/>
      <c r="AM129" s="30"/>
      <c r="AN129" s="30"/>
      <c r="AO129" s="30"/>
      <c r="AP129" s="30"/>
      <c r="AQ129" s="30"/>
      <c r="AR129" s="151"/>
      <c r="AS129" s="150" t="s">
        <v>1425</v>
      </c>
      <c r="AT129" s="162"/>
      <c r="AU129" s="162"/>
      <c r="AV129" s="143" t="s">
        <v>1425</v>
      </c>
    </row>
    <row r="130" spans="1:48" ht="21.95" customHeight="1" x14ac:dyDescent="0.25">
      <c r="A130" s="167">
        <v>133</v>
      </c>
      <c r="B130" s="30">
        <v>386</v>
      </c>
      <c r="C130" s="30" t="s">
        <v>914</v>
      </c>
      <c r="D130" s="30"/>
      <c r="E130" s="30"/>
      <c r="F130" s="30"/>
      <c r="G130" s="30"/>
      <c r="H130" s="29" t="s">
        <v>915</v>
      </c>
      <c r="I130" s="118" t="s">
        <v>1004</v>
      </c>
      <c r="J130" s="62" t="s">
        <v>1005</v>
      </c>
      <c r="K130" s="12">
        <v>18242</v>
      </c>
      <c r="L130" s="118" t="s">
        <v>919</v>
      </c>
      <c r="M130" s="118">
        <v>11</v>
      </c>
      <c r="N130" s="303"/>
      <c r="O130" s="303"/>
      <c r="P130" s="12"/>
      <c r="Q130" s="303"/>
      <c r="R130" s="303">
        <f t="shared" si="8"/>
        <v>11</v>
      </c>
      <c r="S130" s="110">
        <v>18242</v>
      </c>
      <c r="T130" s="360">
        <f t="shared" si="6"/>
        <v>18242</v>
      </c>
      <c r="U130" s="349"/>
      <c r="V130" s="12"/>
      <c r="W130" s="118"/>
      <c r="X130" s="118"/>
      <c r="Y130" s="118"/>
      <c r="Z130" s="118"/>
      <c r="AA130" s="118"/>
      <c r="AB130" s="118"/>
      <c r="AC130" s="118"/>
      <c r="AD130" s="118"/>
      <c r="AE130" s="320"/>
      <c r="AF130" s="30"/>
      <c r="AG130" s="213"/>
      <c r="AH130" s="213"/>
      <c r="AI130" s="150"/>
      <c r="AJ130" s="30"/>
      <c r="AK130" s="151"/>
      <c r="AL130" s="150"/>
      <c r="AM130" s="30"/>
      <c r="AN130" s="30"/>
      <c r="AO130" s="30"/>
      <c r="AP130" s="30"/>
      <c r="AQ130" s="30"/>
      <c r="AR130" s="151"/>
      <c r="AS130" s="150"/>
      <c r="AT130" s="162"/>
      <c r="AU130" s="162"/>
      <c r="AV130" s="143"/>
    </row>
    <row r="131" spans="1:48" ht="21.95" customHeight="1" x14ac:dyDescent="0.25">
      <c r="A131" s="167">
        <v>134</v>
      </c>
      <c r="B131" s="30">
        <v>387</v>
      </c>
      <c r="C131" s="30" t="s">
        <v>916</v>
      </c>
      <c r="D131" s="30"/>
      <c r="E131" s="30"/>
      <c r="F131" s="30"/>
      <c r="G131" s="30"/>
      <c r="H131" s="29" t="s">
        <v>917</v>
      </c>
      <c r="I131" s="118">
        <v>6457865</v>
      </c>
      <c r="J131" s="62" t="s">
        <v>1003</v>
      </c>
      <c r="K131" s="12">
        <v>58229</v>
      </c>
      <c r="L131" s="118" t="s">
        <v>918</v>
      </c>
      <c r="M131" s="118">
        <v>34</v>
      </c>
      <c r="N131" s="303"/>
      <c r="O131" s="303"/>
      <c r="P131" s="12"/>
      <c r="Q131" s="303"/>
      <c r="R131" s="303">
        <f>M131-O131</f>
        <v>34</v>
      </c>
      <c r="S131" s="110">
        <v>58229</v>
      </c>
      <c r="T131" s="360">
        <f t="shared" si="6"/>
        <v>58229</v>
      </c>
      <c r="U131" s="349"/>
      <c r="V131" s="12"/>
      <c r="W131" s="118"/>
      <c r="X131" s="118"/>
      <c r="Y131" s="118"/>
      <c r="Z131" s="118"/>
      <c r="AA131" s="118"/>
      <c r="AB131" s="118"/>
      <c r="AC131" s="118"/>
      <c r="AD131" s="118"/>
      <c r="AE131" s="320"/>
      <c r="AF131" s="30"/>
      <c r="AG131" s="213"/>
      <c r="AH131" s="213"/>
      <c r="AI131" s="150"/>
      <c r="AJ131" s="30"/>
      <c r="AK131" s="151"/>
      <c r="AL131" s="150"/>
      <c r="AM131" s="30"/>
      <c r="AN131" s="30"/>
      <c r="AO131" s="30"/>
      <c r="AP131" s="30"/>
      <c r="AQ131" s="30"/>
      <c r="AR131" s="151"/>
      <c r="AS131" s="150"/>
      <c r="AT131" s="162"/>
      <c r="AU131" s="162"/>
      <c r="AV131" s="143"/>
    </row>
    <row r="132" spans="1:48" s="66" customFormat="1" ht="21.95" customHeight="1" x14ac:dyDescent="0.25">
      <c r="A132" s="167">
        <v>135</v>
      </c>
      <c r="B132" s="167">
        <v>388</v>
      </c>
      <c r="C132" s="167" t="s">
        <v>984</v>
      </c>
      <c r="D132" s="502" t="s">
        <v>1084</v>
      </c>
      <c r="E132" s="167" t="s">
        <v>1090</v>
      </c>
      <c r="F132" s="268" t="s">
        <v>1184</v>
      </c>
      <c r="G132" s="167">
        <v>1</v>
      </c>
      <c r="H132" s="49" t="s">
        <v>985</v>
      </c>
      <c r="I132" s="257">
        <v>6218416</v>
      </c>
      <c r="J132" s="256" t="s">
        <v>986</v>
      </c>
      <c r="K132" s="255">
        <v>5380</v>
      </c>
      <c r="L132" s="257" t="s">
        <v>1002</v>
      </c>
      <c r="M132" s="257">
        <v>9</v>
      </c>
      <c r="N132" s="312"/>
      <c r="O132" s="304"/>
      <c r="P132" s="313"/>
      <c r="Q132" s="312"/>
      <c r="R132" s="312">
        <v>9</v>
      </c>
      <c r="S132" s="341">
        <v>6200.15</v>
      </c>
      <c r="T132" s="360">
        <f t="shared" si="6"/>
        <v>6200.15</v>
      </c>
      <c r="U132" s="351"/>
      <c r="V132" s="255"/>
      <c r="W132" s="257" t="s">
        <v>295</v>
      </c>
      <c r="X132" s="257"/>
      <c r="Y132" s="257"/>
      <c r="Z132" s="257"/>
      <c r="AA132" s="257"/>
      <c r="AB132" s="257"/>
      <c r="AC132" s="257" t="s">
        <v>1522</v>
      </c>
      <c r="AD132" s="257"/>
      <c r="AE132" s="74"/>
      <c r="AF132" s="325"/>
      <c r="AG132" s="209"/>
      <c r="AH132" s="209"/>
      <c r="AI132" s="144"/>
      <c r="AJ132" s="167"/>
      <c r="AK132" s="145"/>
      <c r="AL132" s="144"/>
      <c r="AM132" s="167"/>
      <c r="AN132" s="167"/>
      <c r="AO132" s="167"/>
      <c r="AP132" s="167"/>
      <c r="AQ132" s="167"/>
      <c r="AR132" s="145"/>
      <c r="AS132" s="144" t="s">
        <v>1141</v>
      </c>
      <c r="AT132" s="167">
        <v>1</v>
      </c>
      <c r="AU132" s="167"/>
      <c r="AV132" s="145"/>
    </row>
    <row r="133" spans="1:48" ht="27" customHeight="1" x14ac:dyDescent="0.25">
      <c r="A133" s="30">
        <v>136</v>
      </c>
      <c r="B133" s="30">
        <v>389</v>
      </c>
      <c r="C133" s="30" t="s">
        <v>987</v>
      </c>
      <c r="D133" s="30"/>
      <c r="E133" s="30"/>
      <c r="F133" s="30"/>
      <c r="G133" s="30"/>
      <c r="H133" s="29" t="s">
        <v>988</v>
      </c>
      <c r="I133" s="440">
        <v>6488669</v>
      </c>
      <c r="J133" s="62" t="s">
        <v>989</v>
      </c>
      <c r="K133" s="12">
        <v>16136</v>
      </c>
      <c r="L133" s="459" t="s">
        <v>1001</v>
      </c>
      <c r="M133" s="440">
        <v>14</v>
      </c>
      <c r="N133" s="440"/>
      <c r="O133" s="440"/>
      <c r="P133" s="12"/>
      <c r="Q133" s="440"/>
      <c r="R133" s="57">
        <v>14</v>
      </c>
      <c r="S133" s="110">
        <v>16136</v>
      </c>
      <c r="T133" s="413">
        <f t="shared" si="6"/>
        <v>16136</v>
      </c>
      <c r="U133" s="349"/>
      <c r="V133" s="12"/>
      <c r="W133" s="440"/>
      <c r="X133" s="440"/>
      <c r="Y133" s="440"/>
      <c r="Z133" s="440"/>
      <c r="AA133" s="440"/>
      <c r="AB133" s="440"/>
      <c r="AC133" s="440"/>
      <c r="AD133" s="440"/>
      <c r="AE133" s="320"/>
      <c r="AF133" s="30"/>
      <c r="AG133" s="213"/>
      <c r="AH133" s="213"/>
      <c r="AI133" s="150"/>
      <c r="AJ133" s="30"/>
      <c r="AK133" s="151"/>
      <c r="AL133" s="150"/>
      <c r="AM133" s="30"/>
      <c r="AN133" s="30"/>
      <c r="AO133" s="30"/>
      <c r="AP133" s="30"/>
      <c r="AQ133" s="30"/>
      <c r="AR133" s="151"/>
      <c r="AS133" s="150"/>
      <c r="AT133" s="167"/>
      <c r="AU133" s="162"/>
      <c r="AV133" s="143"/>
    </row>
    <row r="134" spans="1:48" ht="21.95" customHeight="1" x14ac:dyDescent="0.25">
      <c r="A134" s="167">
        <v>137</v>
      </c>
      <c r="B134" s="167">
        <v>390</v>
      </c>
      <c r="C134" s="167" t="s">
        <v>990</v>
      </c>
      <c r="D134" s="502" t="s">
        <v>1554</v>
      </c>
      <c r="E134" s="167" t="s">
        <v>1556</v>
      </c>
      <c r="F134" s="167"/>
      <c r="G134" s="167"/>
      <c r="H134" s="49" t="s">
        <v>991</v>
      </c>
      <c r="I134" s="409" t="s">
        <v>1000</v>
      </c>
      <c r="J134" s="407" t="s">
        <v>591</v>
      </c>
      <c r="K134" s="410">
        <v>15525</v>
      </c>
      <c r="L134" s="409" t="s">
        <v>998</v>
      </c>
      <c r="M134" s="409">
        <v>7</v>
      </c>
      <c r="N134" s="409"/>
      <c r="O134" s="409"/>
      <c r="P134" s="410"/>
      <c r="Q134" s="409"/>
      <c r="R134" s="409">
        <f t="shared" ref="R134:R152" si="9">M134-O134</f>
        <v>7</v>
      </c>
      <c r="S134" s="294">
        <v>15525</v>
      </c>
      <c r="T134" s="365">
        <f t="shared" si="6"/>
        <v>15525</v>
      </c>
      <c r="U134" s="351"/>
      <c r="V134" s="410"/>
      <c r="W134" s="409"/>
      <c r="X134" s="409"/>
      <c r="Y134" s="409"/>
      <c r="Z134" s="409"/>
      <c r="AA134" s="409"/>
      <c r="AB134" s="409"/>
      <c r="AC134" s="409"/>
      <c r="AD134" s="409"/>
      <c r="AE134" s="74"/>
      <c r="AF134" s="167"/>
      <c r="AG134" s="209"/>
      <c r="AH134" s="209"/>
      <c r="AI134" s="144"/>
      <c r="AJ134" s="167"/>
      <c r="AK134" s="145"/>
      <c r="AL134" s="144"/>
      <c r="AM134" s="167"/>
      <c r="AN134" s="167"/>
      <c r="AO134" s="167"/>
      <c r="AP134" s="167"/>
      <c r="AQ134" s="167"/>
      <c r="AR134" s="145"/>
      <c r="AS134" s="144" t="s">
        <v>1141</v>
      </c>
      <c r="AT134" s="167">
        <v>1</v>
      </c>
      <c r="AU134" s="167"/>
      <c r="AV134" s="145"/>
    </row>
    <row r="135" spans="1:48" ht="21.95" customHeight="1" x14ac:dyDescent="0.25">
      <c r="A135" s="167">
        <v>138</v>
      </c>
      <c r="B135" s="167">
        <v>391</v>
      </c>
      <c r="C135" s="167" t="s">
        <v>993</v>
      </c>
      <c r="D135" s="502" t="s">
        <v>1554</v>
      </c>
      <c r="E135" s="167" t="s">
        <v>1556</v>
      </c>
      <c r="F135" s="167"/>
      <c r="G135" s="167"/>
      <c r="H135" s="49" t="s">
        <v>992</v>
      </c>
      <c r="I135" s="409" t="s">
        <v>999</v>
      </c>
      <c r="J135" s="407" t="s">
        <v>591</v>
      </c>
      <c r="K135" s="410"/>
      <c r="L135" s="409" t="s">
        <v>998</v>
      </c>
      <c r="M135" s="409">
        <v>7</v>
      </c>
      <c r="N135" s="409"/>
      <c r="O135" s="409"/>
      <c r="P135" s="410"/>
      <c r="Q135" s="409"/>
      <c r="R135" s="409">
        <f t="shared" si="9"/>
        <v>7</v>
      </c>
      <c r="S135" s="294">
        <v>20126</v>
      </c>
      <c r="T135" s="365">
        <f t="shared" si="6"/>
        <v>20126</v>
      </c>
      <c r="U135" s="351"/>
      <c r="V135" s="410"/>
      <c r="W135" s="409"/>
      <c r="X135" s="409"/>
      <c r="Y135" s="409"/>
      <c r="Z135" s="409"/>
      <c r="AA135" s="409"/>
      <c r="AB135" s="409"/>
      <c r="AC135" s="409"/>
      <c r="AD135" s="409"/>
      <c r="AE135" s="74"/>
      <c r="AF135" s="167"/>
      <c r="AG135" s="209"/>
      <c r="AH135" s="209"/>
      <c r="AI135" s="144"/>
      <c r="AJ135" s="167"/>
      <c r="AK135" s="145"/>
      <c r="AL135" s="144"/>
      <c r="AM135" s="167"/>
      <c r="AN135" s="167"/>
      <c r="AO135" s="167"/>
      <c r="AP135" s="167"/>
      <c r="AQ135" s="167"/>
      <c r="AR135" s="145"/>
      <c r="AS135" s="144" t="s">
        <v>1141</v>
      </c>
      <c r="AT135" s="167">
        <v>1</v>
      </c>
      <c r="AU135" s="167"/>
      <c r="AV135" s="145"/>
    </row>
    <row r="136" spans="1:48" ht="30" customHeight="1" x14ac:dyDescent="0.25">
      <c r="A136" s="167">
        <v>139</v>
      </c>
      <c r="B136" s="30">
        <v>392</v>
      </c>
      <c r="C136" s="30" t="s">
        <v>994</v>
      </c>
      <c r="D136" s="30"/>
      <c r="E136" s="30"/>
      <c r="F136" s="30"/>
      <c r="G136" s="30"/>
      <c r="H136" s="29" t="s">
        <v>996</v>
      </c>
      <c r="I136" s="118">
        <v>6727757</v>
      </c>
      <c r="J136" s="62" t="s">
        <v>995</v>
      </c>
      <c r="K136" s="12">
        <v>73475</v>
      </c>
      <c r="L136" s="62" t="s">
        <v>997</v>
      </c>
      <c r="M136" s="118">
        <v>21</v>
      </c>
      <c r="N136" s="303"/>
      <c r="O136" s="303"/>
      <c r="P136" s="12"/>
      <c r="Q136" s="303"/>
      <c r="R136" s="303">
        <f t="shared" si="9"/>
        <v>21</v>
      </c>
      <c r="S136" s="110">
        <v>72512</v>
      </c>
      <c r="T136" s="360">
        <f t="shared" si="6"/>
        <v>72512</v>
      </c>
      <c r="U136" s="349"/>
      <c r="V136" s="12"/>
      <c r="W136" s="118"/>
      <c r="X136" s="118"/>
      <c r="Y136" s="118"/>
      <c r="Z136" s="118"/>
      <c r="AA136" s="118"/>
      <c r="AB136" s="118"/>
      <c r="AC136" s="118"/>
      <c r="AD136" s="118"/>
      <c r="AE136" s="320"/>
      <c r="AF136" s="30"/>
      <c r="AG136" s="213"/>
      <c r="AH136" s="213"/>
      <c r="AI136" s="150"/>
      <c r="AJ136" s="30"/>
      <c r="AK136" s="151"/>
      <c r="AL136" s="150"/>
      <c r="AM136" s="30"/>
      <c r="AN136" s="30"/>
      <c r="AO136" s="30"/>
      <c r="AP136" s="30"/>
      <c r="AQ136" s="30"/>
      <c r="AR136" s="151"/>
      <c r="AS136" s="150"/>
      <c r="AT136" s="162"/>
      <c r="AU136" s="162"/>
      <c r="AV136" s="143"/>
    </row>
    <row r="137" spans="1:48" ht="21.95" customHeight="1" x14ac:dyDescent="0.25">
      <c r="A137" s="167">
        <v>140</v>
      </c>
      <c r="B137" s="30">
        <v>393</v>
      </c>
      <c r="C137" s="30" t="s">
        <v>1043</v>
      </c>
      <c r="D137" s="30"/>
      <c r="E137" s="30"/>
      <c r="F137" s="30"/>
      <c r="G137" s="30"/>
      <c r="H137" s="29" t="s">
        <v>1044</v>
      </c>
      <c r="I137" s="118" t="s">
        <v>1055</v>
      </c>
      <c r="J137" s="62" t="s">
        <v>205</v>
      </c>
      <c r="K137" s="12">
        <v>9082</v>
      </c>
      <c r="L137" s="118" t="s">
        <v>1056</v>
      </c>
      <c r="M137" s="118">
        <v>7</v>
      </c>
      <c r="N137" s="303"/>
      <c r="O137" s="303"/>
      <c r="P137" s="12"/>
      <c r="Q137" s="303"/>
      <c r="R137" s="303">
        <f t="shared" si="9"/>
        <v>7</v>
      </c>
      <c r="S137" s="110">
        <v>9082</v>
      </c>
      <c r="T137" s="360">
        <f t="shared" si="6"/>
        <v>9082</v>
      </c>
      <c r="U137" s="349"/>
      <c r="V137" s="12"/>
      <c r="W137" s="118"/>
      <c r="X137" s="118"/>
      <c r="Y137" s="118"/>
      <c r="Z137" s="118"/>
      <c r="AA137" s="118"/>
      <c r="AB137" s="118"/>
      <c r="AC137" s="118"/>
      <c r="AD137" s="118"/>
      <c r="AE137" s="320"/>
      <c r="AF137" s="30"/>
      <c r="AG137" s="213"/>
      <c r="AH137" s="213"/>
      <c r="AI137" s="150"/>
      <c r="AJ137" s="30"/>
      <c r="AK137" s="151"/>
      <c r="AL137" s="150"/>
      <c r="AM137" s="30"/>
      <c r="AN137" s="30"/>
      <c r="AO137" s="30"/>
      <c r="AP137" s="30"/>
      <c r="AQ137" s="30"/>
      <c r="AR137" s="151"/>
      <c r="AS137" s="150"/>
      <c r="AT137" s="162"/>
      <c r="AU137" s="162"/>
      <c r="AV137" s="143"/>
    </row>
    <row r="138" spans="1:48" ht="21.95" customHeight="1" x14ac:dyDescent="0.25">
      <c r="A138" s="167">
        <v>141</v>
      </c>
      <c r="B138" s="30">
        <v>394</v>
      </c>
      <c r="C138" s="30" t="s">
        <v>1045</v>
      </c>
      <c r="D138" s="30"/>
      <c r="E138" s="30"/>
      <c r="F138" s="30"/>
      <c r="G138" s="30"/>
      <c r="H138" s="73" t="s">
        <v>1057</v>
      </c>
      <c r="I138" s="118">
        <v>4168004</v>
      </c>
      <c r="J138" s="62" t="s">
        <v>1058</v>
      </c>
      <c r="K138" s="12">
        <v>8724</v>
      </c>
      <c r="L138" s="118" t="s">
        <v>1059</v>
      </c>
      <c r="M138" s="118">
        <v>11</v>
      </c>
      <c r="N138" s="303"/>
      <c r="O138" s="303"/>
      <c r="P138" s="12"/>
      <c r="Q138" s="303"/>
      <c r="R138" s="303">
        <f t="shared" si="9"/>
        <v>11</v>
      </c>
      <c r="S138" s="110">
        <v>8724</v>
      </c>
      <c r="T138" s="360">
        <f t="shared" si="6"/>
        <v>8724</v>
      </c>
      <c r="U138" s="349"/>
      <c r="V138" s="12"/>
      <c r="W138" s="118"/>
      <c r="X138" s="118"/>
      <c r="Y138" s="118"/>
      <c r="Z138" s="118"/>
      <c r="AA138" s="118"/>
      <c r="AB138" s="118"/>
      <c r="AC138" s="118"/>
      <c r="AD138" s="118"/>
      <c r="AE138" s="320"/>
      <c r="AF138" s="30"/>
      <c r="AG138" s="213"/>
      <c r="AH138" s="213"/>
      <c r="AI138" s="150"/>
      <c r="AJ138" s="30"/>
      <c r="AK138" s="151"/>
      <c r="AL138" s="150"/>
      <c r="AM138" s="30"/>
      <c r="AN138" s="30"/>
      <c r="AO138" s="30"/>
      <c r="AP138" s="30"/>
      <c r="AQ138" s="30"/>
      <c r="AR138" s="151"/>
      <c r="AS138" s="150"/>
      <c r="AT138" s="162"/>
      <c r="AU138" s="162"/>
      <c r="AV138" s="143"/>
    </row>
    <row r="139" spans="1:48" ht="21.95" customHeight="1" x14ac:dyDescent="0.25">
      <c r="A139" s="167">
        <v>142</v>
      </c>
      <c r="B139" s="30">
        <v>395</v>
      </c>
      <c r="C139" s="30" t="s">
        <v>1046</v>
      </c>
      <c r="D139" s="30"/>
      <c r="E139" s="30"/>
      <c r="F139" s="30"/>
      <c r="G139" s="30"/>
      <c r="H139" s="29" t="s">
        <v>1060</v>
      </c>
      <c r="I139" s="118">
        <v>6459906</v>
      </c>
      <c r="J139" s="62" t="s">
        <v>1061</v>
      </c>
      <c r="K139" s="12">
        <v>210664</v>
      </c>
      <c r="L139" s="118" t="s">
        <v>1062</v>
      </c>
      <c r="M139" s="118">
        <v>38</v>
      </c>
      <c r="N139" s="303"/>
      <c r="O139" s="303"/>
      <c r="P139" s="12"/>
      <c r="Q139" s="303"/>
      <c r="R139" s="303">
        <f t="shared" si="9"/>
        <v>38</v>
      </c>
      <c r="S139" s="110">
        <v>210664</v>
      </c>
      <c r="T139" s="360">
        <f t="shared" si="6"/>
        <v>210664</v>
      </c>
      <c r="U139" s="349"/>
      <c r="V139" s="12"/>
      <c r="W139" s="118"/>
      <c r="X139" s="118"/>
      <c r="Y139" s="118"/>
      <c r="Z139" s="118"/>
      <c r="AA139" s="118"/>
      <c r="AB139" s="118"/>
      <c r="AC139" s="118"/>
      <c r="AD139" s="118"/>
      <c r="AE139" s="320"/>
      <c r="AF139" s="30"/>
      <c r="AG139" s="213"/>
      <c r="AH139" s="213"/>
      <c r="AI139" s="150"/>
      <c r="AJ139" s="30"/>
      <c r="AK139" s="151"/>
      <c r="AL139" s="150"/>
      <c r="AM139" s="30"/>
      <c r="AN139" s="30"/>
      <c r="AO139" s="30"/>
      <c r="AP139" s="30"/>
      <c r="AQ139" s="30"/>
      <c r="AR139" s="151"/>
      <c r="AS139" s="150"/>
      <c r="AT139" s="162"/>
      <c r="AU139" s="162"/>
      <c r="AV139" s="143"/>
    </row>
    <row r="140" spans="1:48" s="66" customFormat="1" ht="21.95" customHeight="1" x14ac:dyDescent="0.25">
      <c r="A140" s="167">
        <v>143</v>
      </c>
      <c r="B140" s="167">
        <v>396</v>
      </c>
      <c r="C140" s="167" t="s">
        <v>1047</v>
      </c>
      <c r="D140" s="502" t="s">
        <v>1554</v>
      </c>
      <c r="E140" s="167" t="s">
        <v>347</v>
      </c>
      <c r="F140" s="268" t="s">
        <v>1174</v>
      </c>
      <c r="G140" s="167">
        <v>1</v>
      </c>
      <c r="H140" s="49" t="s">
        <v>1063</v>
      </c>
      <c r="I140" s="250">
        <v>6453224</v>
      </c>
      <c r="J140" s="249" t="s">
        <v>1064</v>
      </c>
      <c r="K140" s="251">
        <v>5911</v>
      </c>
      <c r="L140" s="250" t="s">
        <v>1320</v>
      </c>
      <c r="M140" s="250">
        <v>8</v>
      </c>
      <c r="N140" s="310" t="s">
        <v>1318</v>
      </c>
      <c r="O140" s="304">
        <v>3</v>
      </c>
      <c r="P140" s="337">
        <v>2946</v>
      </c>
      <c r="Q140" s="310" t="s">
        <v>1319</v>
      </c>
      <c r="R140" s="316">
        <f>M140-O140</f>
        <v>5</v>
      </c>
      <c r="S140" s="342">
        <f>K140-P140</f>
        <v>2965</v>
      </c>
      <c r="T140" s="360">
        <f t="shared" si="6"/>
        <v>5911</v>
      </c>
      <c r="U140" s="351"/>
      <c r="V140" s="251"/>
      <c r="W140" s="250"/>
      <c r="X140" s="250"/>
      <c r="Y140" s="250"/>
      <c r="Z140" s="250"/>
      <c r="AA140" s="250"/>
      <c r="AB140" s="250">
        <v>3</v>
      </c>
      <c r="AC140" s="250"/>
      <c r="AD140" s="250"/>
      <c r="AE140" s="74" t="s">
        <v>1233</v>
      </c>
      <c r="AF140" s="323"/>
      <c r="AG140" s="167"/>
      <c r="AH140" s="209"/>
      <c r="AI140" s="144"/>
      <c r="AJ140" s="167"/>
      <c r="AK140" s="145"/>
      <c r="AL140" s="144"/>
      <c r="AM140" s="167"/>
      <c r="AN140" s="167"/>
      <c r="AO140" s="167"/>
      <c r="AP140" s="167"/>
      <c r="AQ140" s="167"/>
      <c r="AR140" s="145"/>
      <c r="AS140" s="144" t="s">
        <v>1141</v>
      </c>
      <c r="AT140" s="167">
        <v>1</v>
      </c>
      <c r="AU140" s="167"/>
      <c r="AV140" s="145"/>
    </row>
    <row r="141" spans="1:48" ht="21.95" customHeight="1" x14ac:dyDescent="0.25">
      <c r="A141" s="167">
        <v>144</v>
      </c>
      <c r="B141" s="30">
        <v>397</v>
      </c>
      <c r="C141" s="30" t="s">
        <v>1048</v>
      </c>
      <c r="D141" s="30"/>
      <c r="E141" s="30"/>
      <c r="F141" s="30"/>
      <c r="G141" s="30"/>
      <c r="H141" s="29" t="s">
        <v>1049</v>
      </c>
      <c r="I141" s="188" t="s">
        <v>1065</v>
      </c>
      <c r="J141" s="62" t="s">
        <v>1066</v>
      </c>
      <c r="K141" s="12">
        <v>15619</v>
      </c>
      <c r="L141" s="188" t="s">
        <v>1067</v>
      </c>
      <c r="M141" s="188">
        <v>11</v>
      </c>
      <c r="N141" s="303"/>
      <c r="O141" s="303"/>
      <c r="P141" s="12"/>
      <c r="Q141" s="303"/>
      <c r="R141" s="303">
        <f t="shared" si="9"/>
        <v>11</v>
      </c>
      <c r="S141" s="110">
        <v>15619</v>
      </c>
      <c r="T141" s="360">
        <f t="shared" si="6"/>
        <v>15619</v>
      </c>
      <c r="U141" s="358"/>
      <c r="V141" s="71"/>
      <c r="W141" s="190"/>
      <c r="X141" s="190"/>
      <c r="Y141" s="190"/>
      <c r="Z141" s="190"/>
      <c r="AA141" s="190"/>
      <c r="AB141" s="190"/>
      <c r="AC141" s="190"/>
      <c r="AD141" s="190"/>
      <c r="AE141" s="321"/>
      <c r="AF141" s="30"/>
      <c r="AG141" s="215"/>
      <c r="AH141" s="215"/>
      <c r="AI141" s="194"/>
      <c r="AJ141" s="191"/>
      <c r="AK141" s="193"/>
      <c r="AL141" s="194"/>
      <c r="AM141" s="191"/>
      <c r="AN141" s="191"/>
      <c r="AO141" s="191"/>
      <c r="AP141" s="191"/>
      <c r="AQ141" s="191"/>
      <c r="AR141" s="193"/>
      <c r="AS141" s="194"/>
      <c r="AT141" s="192"/>
      <c r="AU141" s="192"/>
      <c r="AV141" s="195"/>
    </row>
    <row r="142" spans="1:48" ht="21.95" customHeight="1" x14ac:dyDescent="0.25">
      <c r="A142" s="167">
        <v>145</v>
      </c>
      <c r="B142" s="30">
        <v>398</v>
      </c>
      <c r="C142" s="30" t="s">
        <v>1050</v>
      </c>
      <c r="D142" s="30"/>
      <c r="E142" s="30"/>
      <c r="F142" s="30"/>
      <c r="G142" s="30"/>
      <c r="H142" s="29" t="s">
        <v>1051</v>
      </c>
      <c r="I142" s="188">
        <v>6187552</v>
      </c>
      <c r="J142" s="62" t="s">
        <v>1069</v>
      </c>
      <c r="K142" s="12">
        <v>10844</v>
      </c>
      <c r="L142" s="188" t="s">
        <v>1068</v>
      </c>
      <c r="M142" s="188">
        <v>6</v>
      </c>
      <c r="N142" s="303"/>
      <c r="O142" s="303"/>
      <c r="P142" s="12"/>
      <c r="Q142" s="303"/>
      <c r="R142" s="303">
        <f t="shared" si="9"/>
        <v>6</v>
      </c>
      <c r="S142" s="110">
        <v>10844</v>
      </c>
      <c r="T142" s="360">
        <f t="shared" si="6"/>
        <v>10844</v>
      </c>
      <c r="U142" s="358"/>
      <c r="V142" s="71"/>
      <c r="W142" s="190"/>
      <c r="X142" s="190"/>
      <c r="Y142" s="190"/>
      <c r="Z142" s="190"/>
      <c r="AA142" s="190"/>
      <c r="AB142" s="190"/>
      <c r="AC142" s="190"/>
      <c r="AD142" s="190"/>
      <c r="AE142" s="321"/>
      <c r="AF142" s="30"/>
      <c r="AG142" s="215"/>
      <c r="AH142" s="215"/>
      <c r="AI142" s="194"/>
      <c r="AJ142" s="191"/>
      <c r="AK142" s="193"/>
      <c r="AL142" s="194"/>
      <c r="AM142" s="191"/>
      <c r="AN142" s="191"/>
      <c r="AO142" s="191"/>
      <c r="AP142" s="191"/>
      <c r="AQ142" s="191"/>
      <c r="AR142" s="193"/>
      <c r="AS142" s="194"/>
      <c r="AT142" s="192"/>
      <c r="AU142" s="192"/>
      <c r="AV142" s="195"/>
    </row>
    <row r="143" spans="1:48" ht="21.95" customHeight="1" x14ac:dyDescent="0.25">
      <c r="A143" s="167">
        <v>146</v>
      </c>
      <c r="B143" s="167">
        <v>399</v>
      </c>
      <c r="C143" s="167" t="s">
        <v>1052</v>
      </c>
      <c r="D143" s="167" t="s">
        <v>1084</v>
      </c>
      <c r="E143" s="167" t="s">
        <v>1084</v>
      </c>
      <c r="F143" s="167"/>
      <c r="G143" s="167"/>
      <c r="H143" s="49" t="s">
        <v>1551</v>
      </c>
      <c r="I143" s="482">
        <v>7117131</v>
      </c>
      <c r="J143" s="481" t="s">
        <v>1552</v>
      </c>
      <c r="K143" s="483">
        <f>287+285</f>
        <v>572</v>
      </c>
      <c r="L143" s="482" t="s">
        <v>870</v>
      </c>
      <c r="M143" s="482">
        <v>2</v>
      </c>
      <c r="N143" s="482"/>
      <c r="O143" s="482"/>
      <c r="P143" s="483"/>
      <c r="Q143" s="482"/>
      <c r="R143" s="482">
        <f t="shared" si="9"/>
        <v>2</v>
      </c>
      <c r="S143" s="294">
        <v>572</v>
      </c>
      <c r="T143" s="365">
        <f t="shared" si="6"/>
        <v>572</v>
      </c>
      <c r="U143" s="359"/>
      <c r="V143" s="486"/>
      <c r="W143" s="485"/>
      <c r="X143" s="485"/>
      <c r="Y143" s="485"/>
      <c r="Z143" s="485"/>
      <c r="AA143" s="485"/>
      <c r="AB143" s="485"/>
      <c r="AC143" s="485"/>
      <c r="AD143" s="485"/>
      <c r="AE143" s="322"/>
      <c r="AF143" s="167"/>
      <c r="AG143" s="297"/>
      <c r="AH143" s="297"/>
      <c r="AI143" s="298"/>
      <c r="AJ143" s="484"/>
      <c r="AK143" s="296"/>
      <c r="AL143" s="298"/>
      <c r="AM143" s="484"/>
      <c r="AN143" s="484"/>
      <c r="AO143" s="484"/>
      <c r="AP143" s="484"/>
      <c r="AQ143" s="484"/>
      <c r="AR143" s="296"/>
      <c r="AS143" s="298"/>
      <c r="AT143" s="484"/>
      <c r="AU143" s="484"/>
      <c r="AV143" s="195"/>
    </row>
    <row r="144" spans="1:48" s="66" customFormat="1" ht="21.95" customHeight="1" x14ac:dyDescent="0.25">
      <c r="A144" s="167">
        <v>147</v>
      </c>
      <c r="B144" s="167">
        <v>400</v>
      </c>
      <c r="C144" s="167" t="s">
        <v>1053</v>
      </c>
      <c r="D144" s="502" t="s">
        <v>1084</v>
      </c>
      <c r="E144" s="167" t="s">
        <v>1091</v>
      </c>
      <c r="F144" s="167"/>
      <c r="G144" s="167"/>
      <c r="H144" s="49" t="s">
        <v>1054</v>
      </c>
      <c r="I144" s="476" t="s">
        <v>1070</v>
      </c>
      <c r="J144" s="474" t="s">
        <v>1071</v>
      </c>
      <c r="K144" s="477">
        <v>9297</v>
      </c>
      <c r="L144" s="476" t="s">
        <v>1072</v>
      </c>
      <c r="M144" s="476">
        <v>7</v>
      </c>
      <c r="N144" s="476"/>
      <c r="O144" s="476"/>
      <c r="P144" s="477"/>
      <c r="Q144" s="476"/>
      <c r="R144" s="476">
        <f t="shared" si="9"/>
        <v>7</v>
      </c>
      <c r="S144" s="294">
        <v>9295</v>
      </c>
      <c r="T144" s="365">
        <f t="shared" si="6"/>
        <v>9295</v>
      </c>
      <c r="U144" s="359"/>
      <c r="V144" s="479"/>
      <c r="W144" s="478"/>
      <c r="X144" s="478"/>
      <c r="Y144" s="478"/>
      <c r="Z144" s="478"/>
      <c r="AA144" s="478"/>
      <c r="AB144" s="478"/>
      <c r="AC144" s="478"/>
      <c r="AD144" s="478"/>
      <c r="AE144" s="322"/>
      <c r="AF144" s="167"/>
      <c r="AG144" s="297"/>
      <c r="AH144" s="297"/>
      <c r="AI144" s="298"/>
      <c r="AJ144" s="480"/>
      <c r="AK144" s="296"/>
      <c r="AL144" s="298"/>
      <c r="AM144" s="480"/>
      <c r="AN144" s="480"/>
      <c r="AO144" s="480"/>
      <c r="AP144" s="480"/>
      <c r="AQ144" s="480"/>
      <c r="AR144" s="296"/>
      <c r="AS144" s="298"/>
      <c r="AT144" s="480"/>
      <c r="AU144" s="480"/>
      <c r="AV144" s="296"/>
    </row>
    <row r="145" spans="1:48" ht="21.95" customHeight="1" x14ac:dyDescent="0.25">
      <c r="A145" s="167">
        <v>148</v>
      </c>
      <c r="B145" s="30">
        <v>401</v>
      </c>
      <c r="C145" s="30" t="s">
        <v>1094</v>
      </c>
      <c r="D145" s="30"/>
      <c r="E145" s="30"/>
      <c r="F145" s="30"/>
      <c r="G145" s="30"/>
      <c r="H145" s="29" t="s">
        <v>1104</v>
      </c>
      <c r="I145" s="188">
        <v>6181272</v>
      </c>
      <c r="J145" s="62" t="s">
        <v>1105</v>
      </c>
      <c r="K145" s="12"/>
      <c r="L145" s="188"/>
      <c r="M145" s="188"/>
      <c r="N145" s="32"/>
      <c r="O145" s="303"/>
      <c r="P145" s="35"/>
      <c r="Q145" s="32"/>
      <c r="R145" s="32">
        <f t="shared" si="9"/>
        <v>0</v>
      </c>
      <c r="S145" s="109"/>
      <c r="T145" s="360">
        <f t="shared" si="6"/>
        <v>0</v>
      </c>
      <c r="U145" s="358"/>
      <c r="V145" s="71"/>
      <c r="W145" s="190"/>
      <c r="X145" s="190"/>
      <c r="Y145" s="190"/>
      <c r="Z145" s="190"/>
      <c r="AA145" s="190"/>
      <c r="AB145" s="190"/>
      <c r="AC145" s="190"/>
      <c r="AD145" s="190"/>
      <c r="AE145" s="321"/>
      <c r="AF145" s="42"/>
      <c r="AG145" s="215"/>
      <c r="AH145" s="215"/>
      <c r="AI145" s="194"/>
      <c r="AJ145" s="191"/>
      <c r="AK145" s="193"/>
      <c r="AL145" s="194"/>
      <c r="AM145" s="191"/>
      <c r="AN145" s="191"/>
      <c r="AO145" s="191"/>
      <c r="AP145" s="191"/>
      <c r="AQ145" s="191"/>
      <c r="AR145" s="193"/>
      <c r="AS145" s="194"/>
      <c r="AT145" s="192"/>
      <c r="AU145" s="192"/>
      <c r="AV145" s="195"/>
    </row>
    <row r="146" spans="1:48" s="66" customFormat="1" ht="21.95" customHeight="1" x14ac:dyDescent="0.25">
      <c r="A146" s="167">
        <v>149</v>
      </c>
      <c r="B146" s="167">
        <v>402</v>
      </c>
      <c r="C146" s="167" t="s">
        <v>1095</v>
      </c>
      <c r="D146" s="502" t="s">
        <v>1084</v>
      </c>
      <c r="E146" s="167" t="s">
        <v>1090</v>
      </c>
      <c r="F146" s="167"/>
      <c r="G146" s="167"/>
      <c r="H146" s="49" t="s">
        <v>1106</v>
      </c>
      <c r="I146" s="417">
        <v>6174755</v>
      </c>
      <c r="J146" s="416" t="s">
        <v>1105</v>
      </c>
      <c r="K146" s="418">
        <f>543+609+59.5</f>
        <v>1211.5</v>
      </c>
      <c r="L146" s="417" t="s">
        <v>1119</v>
      </c>
      <c r="M146" s="417">
        <v>3</v>
      </c>
      <c r="N146" s="417"/>
      <c r="O146" s="417"/>
      <c r="P146" s="418"/>
      <c r="Q146" s="417"/>
      <c r="R146" s="417">
        <f t="shared" si="9"/>
        <v>3</v>
      </c>
      <c r="S146" s="294">
        <v>1212</v>
      </c>
      <c r="T146" s="365">
        <f t="shared" si="6"/>
        <v>1212</v>
      </c>
      <c r="U146" s="359"/>
      <c r="V146" s="420"/>
      <c r="W146" s="419"/>
      <c r="X146" s="419"/>
      <c r="Y146" s="419"/>
      <c r="Z146" s="419"/>
      <c r="AA146" s="419"/>
      <c r="AB146" s="419"/>
      <c r="AC146" s="419"/>
      <c r="AD146" s="419"/>
      <c r="AE146" s="322"/>
      <c r="AF146" s="167"/>
      <c r="AG146" s="297"/>
      <c r="AH146" s="297"/>
      <c r="AI146" s="298"/>
      <c r="AJ146" s="421"/>
      <c r="AK146" s="296"/>
      <c r="AL146" s="298"/>
      <c r="AM146" s="421"/>
      <c r="AN146" s="421"/>
      <c r="AO146" s="421"/>
      <c r="AP146" s="421"/>
      <c r="AQ146" s="421"/>
      <c r="AR146" s="296"/>
      <c r="AS146" s="298" t="s">
        <v>571</v>
      </c>
      <c r="AT146" s="421">
        <v>1</v>
      </c>
      <c r="AU146" s="421"/>
      <c r="AV146" s="296"/>
    </row>
    <row r="147" spans="1:48" ht="21.95" customHeight="1" x14ac:dyDescent="0.25">
      <c r="A147" s="167">
        <v>150</v>
      </c>
      <c r="B147" s="30">
        <v>403</v>
      </c>
      <c r="C147" s="30" t="s">
        <v>1096</v>
      </c>
      <c r="D147" s="30"/>
      <c r="E147" s="30"/>
      <c r="F147" s="30"/>
      <c r="G147" s="30"/>
      <c r="H147" s="29" t="s">
        <v>1107</v>
      </c>
      <c r="I147" s="225">
        <v>370</v>
      </c>
      <c r="J147" s="62" t="s">
        <v>1108</v>
      </c>
      <c r="K147" s="12">
        <f>792.37*4+791.66+15*643.98</f>
        <v>13620.84</v>
      </c>
      <c r="L147" s="225" t="s">
        <v>1120</v>
      </c>
      <c r="M147" s="225">
        <v>20</v>
      </c>
      <c r="N147" s="303"/>
      <c r="O147" s="303"/>
      <c r="P147" s="12"/>
      <c r="Q147" s="303"/>
      <c r="R147" s="303">
        <f t="shared" si="9"/>
        <v>20</v>
      </c>
      <c r="S147" s="110">
        <v>13621</v>
      </c>
      <c r="T147" s="360">
        <f t="shared" si="6"/>
        <v>13621</v>
      </c>
      <c r="U147" s="358"/>
      <c r="V147" s="71"/>
      <c r="W147" s="226"/>
      <c r="X147" s="226"/>
      <c r="Y147" s="226"/>
      <c r="Z147" s="226"/>
      <c r="AA147" s="226"/>
      <c r="AB147" s="226"/>
      <c r="AC147" s="226"/>
      <c r="AD147" s="226"/>
      <c r="AE147" s="321"/>
      <c r="AF147" s="30"/>
      <c r="AG147" s="215"/>
      <c r="AH147" s="215"/>
      <c r="AI147" s="194"/>
      <c r="AJ147" s="227"/>
      <c r="AK147" s="193"/>
      <c r="AL147" s="194"/>
      <c r="AM147" s="227"/>
      <c r="AN147" s="227"/>
      <c r="AO147" s="227"/>
      <c r="AP147" s="227"/>
      <c r="AQ147" s="227"/>
      <c r="AR147" s="193"/>
      <c r="AS147" s="194"/>
      <c r="AT147" s="228"/>
      <c r="AU147" s="228"/>
      <c r="AV147" s="195"/>
    </row>
    <row r="148" spans="1:48" s="66" customFormat="1" ht="30" x14ac:dyDescent="0.25">
      <c r="A148" s="30">
        <v>151</v>
      </c>
      <c r="B148" s="30">
        <v>404</v>
      </c>
      <c r="C148" s="30" t="s">
        <v>1097</v>
      </c>
      <c r="D148" s="30"/>
      <c r="E148" s="30"/>
      <c r="F148" s="30"/>
      <c r="G148" s="30"/>
      <c r="H148" s="29" t="s">
        <v>1109</v>
      </c>
      <c r="I148" s="440">
        <v>3347326</v>
      </c>
      <c r="J148" s="69" t="s">
        <v>376</v>
      </c>
      <c r="K148" s="12">
        <v>8933</v>
      </c>
      <c r="L148" s="440" t="s">
        <v>1121</v>
      </c>
      <c r="M148" s="440">
        <v>10</v>
      </c>
      <c r="N148" s="440"/>
      <c r="O148" s="440"/>
      <c r="P148" s="12"/>
      <c r="Q148" s="440"/>
      <c r="R148" s="440">
        <f t="shared" si="9"/>
        <v>10</v>
      </c>
      <c r="S148" s="110">
        <v>8933</v>
      </c>
      <c r="T148" s="413">
        <f t="shared" si="6"/>
        <v>8933</v>
      </c>
      <c r="U148" s="358"/>
      <c r="V148" s="71"/>
      <c r="W148" s="446"/>
      <c r="X148" s="446"/>
      <c r="Y148" s="446"/>
      <c r="Z148" s="446"/>
      <c r="AA148" s="446"/>
      <c r="AB148" s="446"/>
      <c r="AC148" s="446"/>
      <c r="AD148" s="446"/>
      <c r="AE148" s="321"/>
      <c r="AF148" s="30"/>
      <c r="AG148" s="215"/>
      <c r="AH148" s="215"/>
      <c r="AI148" s="194"/>
      <c r="AJ148" s="447"/>
      <c r="AK148" s="193"/>
      <c r="AL148" s="194"/>
      <c r="AM148" s="447"/>
      <c r="AN148" s="447"/>
      <c r="AO148" s="447"/>
      <c r="AP148" s="447"/>
      <c r="AQ148" s="447"/>
      <c r="AR148" s="193"/>
      <c r="AS148" s="194" t="s">
        <v>571</v>
      </c>
      <c r="AT148" s="421">
        <v>1</v>
      </c>
      <c r="AU148" s="421"/>
      <c r="AV148" s="296"/>
    </row>
    <row r="149" spans="1:48" ht="21.95" customHeight="1" x14ac:dyDescent="0.25">
      <c r="A149" s="167">
        <v>152</v>
      </c>
      <c r="B149" s="30">
        <v>405</v>
      </c>
      <c r="C149" s="30" t="s">
        <v>1098</v>
      </c>
      <c r="D149" s="30"/>
      <c r="E149" s="30"/>
      <c r="F149" s="30"/>
      <c r="G149" s="30"/>
      <c r="H149" s="29" t="s">
        <v>1110</v>
      </c>
      <c r="I149" s="225">
        <v>3470992</v>
      </c>
      <c r="J149" s="62" t="s">
        <v>1111</v>
      </c>
      <c r="K149" s="12">
        <f>259.76+192.76</f>
        <v>452.52</v>
      </c>
      <c r="L149" s="225" t="s">
        <v>195</v>
      </c>
      <c r="M149" s="225">
        <v>2</v>
      </c>
      <c r="N149" s="303"/>
      <c r="O149" s="303"/>
      <c r="P149" s="12"/>
      <c r="Q149" s="303"/>
      <c r="R149" s="303">
        <f t="shared" si="9"/>
        <v>2</v>
      </c>
      <c r="S149" s="110">
        <v>453</v>
      </c>
      <c r="T149" s="360">
        <f t="shared" si="6"/>
        <v>453</v>
      </c>
      <c r="U149" s="358"/>
      <c r="V149" s="71"/>
      <c r="W149" s="226"/>
      <c r="X149" s="226"/>
      <c r="Y149" s="226"/>
      <c r="Z149" s="226"/>
      <c r="AA149" s="226"/>
      <c r="AB149" s="226"/>
      <c r="AC149" s="226"/>
      <c r="AD149" s="226"/>
      <c r="AE149" s="321"/>
      <c r="AF149" s="30"/>
      <c r="AG149" s="215"/>
      <c r="AH149" s="215"/>
      <c r="AI149" s="194"/>
      <c r="AJ149" s="227"/>
      <c r="AK149" s="193"/>
      <c r="AL149" s="194"/>
      <c r="AM149" s="227"/>
      <c r="AN149" s="227"/>
      <c r="AO149" s="227"/>
      <c r="AP149" s="227"/>
      <c r="AQ149" s="227"/>
      <c r="AR149" s="193"/>
      <c r="AS149" s="194"/>
      <c r="AT149" s="228"/>
      <c r="AU149" s="228"/>
      <c r="AV149" s="195"/>
    </row>
    <row r="150" spans="1:48" s="66" customFormat="1" ht="21.95" customHeight="1" x14ac:dyDescent="0.25">
      <c r="A150" s="167">
        <v>153</v>
      </c>
      <c r="B150" s="167">
        <v>406</v>
      </c>
      <c r="C150" s="167" t="s">
        <v>1099</v>
      </c>
      <c r="D150" s="502" t="s">
        <v>1554</v>
      </c>
      <c r="E150" s="167" t="s">
        <v>1556</v>
      </c>
      <c r="F150" s="167"/>
      <c r="G150" s="167"/>
      <c r="H150" s="49" t="s">
        <v>1112</v>
      </c>
      <c r="I150" s="392">
        <v>3323893</v>
      </c>
      <c r="J150" s="391" t="s">
        <v>1113</v>
      </c>
      <c r="K150" s="393">
        <v>1024</v>
      </c>
      <c r="L150" s="392" t="s">
        <v>1122</v>
      </c>
      <c r="M150" s="392">
        <v>3</v>
      </c>
      <c r="N150" s="392"/>
      <c r="O150" s="392"/>
      <c r="P150" s="393"/>
      <c r="Q150" s="392"/>
      <c r="R150" s="392">
        <f t="shared" si="9"/>
        <v>3</v>
      </c>
      <c r="S150" s="294">
        <v>1024</v>
      </c>
      <c r="T150" s="365">
        <f t="shared" si="6"/>
        <v>1024</v>
      </c>
      <c r="U150" s="359"/>
      <c r="V150" s="396"/>
      <c r="W150" s="394"/>
      <c r="X150" s="394"/>
      <c r="Y150" s="394"/>
      <c r="Z150" s="394"/>
      <c r="AA150" s="394"/>
      <c r="AB150" s="394"/>
      <c r="AC150" s="394"/>
      <c r="AD150" s="394"/>
      <c r="AE150" s="322"/>
      <c r="AF150" s="167"/>
      <c r="AG150" s="297"/>
      <c r="AH150" s="297"/>
      <c r="AI150" s="298"/>
      <c r="AJ150" s="395"/>
      <c r="AK150" s="296"/>
      <c r="AL150" s="298"/>
      <c r="AM150" s="395"/>
      <c r="AN150" s="395"/>
      <c r="AO150" s="395"/>
      <c r="AP150" s="395"/>
      <c r="AQ150" s="395"/>
      <c r="AR150" s="296"/>
      <c r="AS150" s="298" t="s">
        <v>571</v>
      </c>
      <c r="AT150" s="395">
        <v>1</v>
      </c>
      <c r="AU150" s="395"/>
      <c r="AV150" s="296"/>
    </row>
    <row r="151" spans="1:48" ht="21.95" customHeight="1" x14ac:dyDescent="0.25">
      <c r="A151" s="167">
        <v>154</v>
      </c>
      <c r="B151" s="167">
        <v>407</v>
      </c>
      <c r="C151" s="167" t="s">
        <v>1100</v>
      </c>
      <c r="D151" s="502" t="s">
        <v>1554</v>
      </c>
      <c r="E151" s="167" t="s">
        <v>345</v>
      </c>
      <c r="F151" s="167"/>
      <c r="G151" s="167"/>
      <c r="H151" s="49" t="s">
        <v>1114</v>
      </c>
      <c r="I151" s="392">
        <v>5310929</v>
      </c>
      <c r="J151" s="391" t="s">
        <v>1529</v>
      </c>
      <c r="K151" s="393">
        <v>369</v>
      </c>
      <c r="L151" s="392" t="s">
        <v>1530</v>
      </c>
      <c r="M151" s="392">
        <v>2</v>
      </c>
      <c r="N151" s="392"/>
      <c r="O151" s="392"/>
      <c r="P151" s="393"/>
      <c r="Q151" s="392"/>
      <c r="R151" s="392">
        <f t="shared" si="9"/>
        <v>2</v>
      </c>
      <c r="S151" s="294"/>
      <c r="T151" s="365">
        <f t="shared" si="6"/>
        <v>0</v>
      </c>
      <c r="U151" s="359"/>
      <c r="V151" s="396"/>
      <c r="W151" s="394"/>
      <c r="X151" s="394"/>
      <c r="Y151" s="394"/>
      <c r="Z151" s="394"/>
      <c r="AA151" s="394"/>
      <c r="AB151" s="394"/>
      <c r="AC151" s="394"/>
      <c r="AD151" s="394"/>
      <c r="AE151" s="322"/>
      <c r="AF151" s="167"/>
      <c r="AG151" s="297"/>
      <c r="AH151" s="297"/>
      <c r="AI151" s="298"/>
      <c r="AJ151" s="395"/>
      <c r="AK151" s="296"/>
      <c r="AL151" s="298"/>
      <c r="AM151" s="395"/>
      <c r="AN151" s="395"/>
      <c r="AO151" s="395"/>
      <c r="AP151" s="395"/>
      <c r="AQ151" s="395"/>
      <c r="AR151" s="296"/>
      <c r="AS151" s="298" t="s">
        <v>571</v>
      </c>
      <c r="AT151" s="421">
        <v>1</v>
      </c>
      <c r="AU151" s="395"/>
      <c r="AV151" s="296"/>
    </row>
    <row r="152" spans="1:48" ht="21.95" customHeight="1" x14ac:dyDescent="0.25">
      <c r="A152" s="167">
        <v>155</v>
      </c>
      <c r="B152" s="30">
        <v>408</v>
      </c>
      <c r="C152" s="30" t="s">
        <v>1101</v>
      </c>
      <c r="D152" s="30"/>
      <c r="E152" s="30"/>
      <c r="F152" s="30"/>
      <c r="G152" s="30"/>
      <c r="H152" s="29" t="s">
        <v>1116</v>
      </c>
      <c r="I152" s="188" t="s">
        <v>1115</v>
      </c>
      <c r="J152" s="62" t="s">
        <v>591</v>
      </c>
      <c r="K152" s="12">
        <v>11880</v>
      </c>
      <c r="L152" s="188" t="s">
        <v>1123</v>
      </c>
      <c r="M152" s="188">
        <v>10</v>
      </c>
      <c r="N152" s="303"/>
      <c r="O152" s="303"/>
      <c r="P152" s="12"/>
      <c r="Q152" s="303"/>
      <c r="R152" s="303">
        <f t="shared" si="9"/>
        <v>10</v>
      </c>
      <c r="S152" s="110">
        <v>11880</v>
      </c>
      <c r="T152" s="360">
        <f t="shared" si="6"/>
        <v>11880</v>
      </c>
      <c r="U152" s="358"/>
      <c r="V152" s="71"/>
      <c r="W152" s="190"/>
      <c r="X152" s="190"/>
      <c r="Y152" s="190"/>
      <c r="Z152" s="190"/>
      <c r="AA152" s="190"/>
      <c r="AB152" s="190"/>
      <c r="AC152" s="190"/>
      <c r="AD152" s="190"/>
      <c r="AE152" s="321"/>
      <c r="AF152" s="30"/>
      <c r="AG152" s="215"/>
      <c r="AH152" s="215"/>
      <c r="AI152" s="194"/>
      <c r="AJ152" s="191"/>
      <c r="AK152" s="193"/>
      <c r="AL152" s="194"/>
      <c r="AM152" s="191"/>
      <c r="AN152" s="191"/>
      <c r="AO152" s="191"/>
      <c r="AP152" s="191"/>
      <c r="AQ152" s="191"/>
      <c r="AR152" s="193"/>
      <c r="AS152" s="194"/>
      <c r="AT152" s="192"/>
      <c r="AU152" s="192"/>
      <c r="AV152" s="195"/>
    </row>
    <row r="153" spans="1:48" ht="21.95" customHeight="1" x14ac:dyDescent="0.25">
      <c r="A153" s="167">
        <v>156</v>
      </c>
      <c r="B153" s="30">
        <v>409</v>
      </c>
      <c r="C153" s="30" t="s">
        <v>1102</v>
      </c>
      <c r="D153" s="30"/>
      <c r="E153" s="30"/>
      <c r="F153" s="30"/>
      <c r="G153" s="30"/>
      <c r="H153" s="29" t="s">
        <v>1117</v>
      </c>
      <c r="I153" s="188">
        <v>6456563</v>
      </c>
      <c r="J153" s="62" t="s">
        <v>1003</v>
      </c>
      <c r="K153" s="12">
        <v>16426</v>
      </c>
      <c r="L153" s="188"/>
      <c r="M153" s="188"/>
      <c r="N153" s="32"/>
      <c r="O153" s="303"/>
      <c r="P153" s="35"/>
      <c r="Q153" s="32"/>
      <c r="R153" s="32"/>
      <c r="S153" s="109"/>
      <c r="T153" s="360">
        <f t="shared" si="6"/>
        <v>0</v>
      </c>
      <c r="U153" s="358"/>
      <c r="V153" s="71"/>
      <c r="W153" s="190"/>
      <c r="X153" s="190"/>
      <c r="Y153" s="190"/>
      <c r="Z153" s="190"/>
      <c r="AA153" s="190"/>
      <c r="AB153" s="190"/>
      <c r="AC153" s="190"/>
      <c r="AD153" s="190"/>
      <c r="AE153" s="321"/>
      <c r="AF153" s="42"/>
      <c r="AG153" s="215"/>
      <c r="AH153" s="215"/>
      <c r="AI153" s="194"/>
      <c r="AJ153" s="191"/>
      <c r="AK153" s="193"/>
      <c r="AL153" s="194"/>
      <c r="AM153" s="191"/>
      <c r="AN153" s="191"/>
      <c r="AO153" s="191"/>
      <c r="AP153" s="191"/>
      <c r="AQ153" s="191"/>
      <c r="AR153" s="193"/>
      <c r="AS153" s="194"/>
      <c r="AT153" s="192"/>
      <c r="AU153" s="192"/>
      <c r="AV153" s="195"/>
    </row>
    <row r="154" spans="1:48" ht="21.95" customHeight="1" x14ac:dyDescent="0.25">
      <c r="A154" s="167">
        <v>157</v>
      </c>
      <c r="B154" s="263">
        <v>410</v>
      </c>
      <c r="C154" s="263" t="s">
        <v>1103</v>
      </c>
      <c r="D154" s="505"/>
      <c r="E154" s="263"/>
      <c r="F154" s="263"/>
      <c r="G154" s="263"/>
      <c r="H154" s="266" t="s">
        <v>1118</v>
      </c>
      <c r="I154" s="262"/>
      <c r="J154" s="70"/>
      <c r="K154" s="71"/>
      <c r="L154" s="262"/>
      <c r="M154" s="262"/>
      <c r="N154" s="334"/>
      <c r="O154" s="309"/>
      <c r="P154" s="340"/>
      <c r="Q154" s="334"/>
      <c r="R154" s="334"/>
      <c r="S154" s="347"/>
      <c r="T154" s="360">
        <f t="shared" si="6"/>
        <v>0</v>
      </c>
      <c r="U154" s="358"/>
      <c r="V154" s="71"/>
      <c r="W154" s="262"/>
      <c r="X154" s="262"/>
      <c r="Y154" s="262"/>
      <c r="Z154" s="262"/>
      <c r="AA154" s="262"/>
      <c r="AB154" s="262"/>
      <c r="AC154" s="262"/>
      <c r="AD154" s="262"/>
      <c r="AE154" s="321"/>
      <c r="AF154" s="42"/>
      <c r="AG154" s="215"/>
      <c r="AH154" s="215"/>
      <c r="AI154" s="194"/>
      <c r="AJ154" s="263"/>
      <c r="AK154" s="193"/>
      <c r="AL154" s="194"/>
      <c r="AM154" s="263"/>
      <c r="AN154" s="263"/>
      <c r="AO154" s="263"/>
      <c r="AP154" s="263"/>
      <c r="AQ154" s="263"/>
      <c r="AR154" s="193"/>
      <c r="AS154" s="194"/>
      <c r="AT154" s="264"/>
      <c r="AU154" s="264"/>
      <c r="AV154" s="195"/>
    </row>
    <row r="155" spans="1:48" s="66" customFormat="1" ht="21.95" customHeight="1" x14ac:dyDescent="0.25">
      <c r="A155" s="167">
        <v>158</v>
      </c>
      <c r="B155" s="421">
        <v>411</v>
      </c>
      <c r="C155" s="167" t="s">
        <v>1148</v>
      </c>
      <c r="D155" s="167" t="s">
        <v>1084</v>
      </c>
      <c r="E155" s="167" t="s">
        <v>1091</v>
      </c>
      <c r="F155" s="167"/>
      <c r="G155" s="167"/>
      <c r="H155" s="73" t="s">
        <v>1149</v>
      </c>
      <c r="I155" s="417" t="s">
        <v>1150</v>
      </c>
      <c r="J155" s="416" t="s">
        <v>1151</v>
      </c>
      <c r="K155" s="418"/>
      <c r="L155" s="417"/>
      <c r="M155" s="417"/>
      <c r="N155" s="417"/>
      <c r="O155" s="417"/>
      <c r="P155" s="418"/>
      <c r="Q155" s="417"/>
      <c r="R155" s="417"/>
      <c r="S155" s="294">
        <v>95338</v>
      </c>
      <c r="T155" s="365">
        <f t="shared" si="6"/>
        <v>95338</v>
      </c>
      <c r="U155" s="351"/>
      <c r="V155" s="418"/>
      <c r="W155" s="417"/>
      <c r="X155" s="417"/>
      <c r="Y155" s="417"/>
      <c r="Z155" s="417"/>
      <c r="AA155" s="417"/>
      <c r="AB155" s="417"/>
      <c r="AC155" s="417"/>
      <c r="AD155" s="417"/>
      <c r="AE155" s="74"/>
      <c r="AF155" s="167"/>
      <c r="AG155" s="7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298"/>
      <c r="AT155" s="421"/>
      <c r="AU155" s="167"/>
      <c r="AV155" s="167"/>
    </row>
    <row r="156" spans="1:48" ht="21.95" customHeight="1" x14ac:dyDescent="0.25">
      <c r="A156" s="167">
        <v>159</v>
      </c>
      <c r="B156" s="263">
        <v>412</v>
      </c>
      <c r="C156" s="30" t="s">
        <v>1152</v>
      </c>
      <c r="D156" s="30"/>
      <c r="E156" s="30"/>
      <c r="F156" s="30"/>
      <c r="G156" s="30"/>
      <c r="H156" s="29" t="s">
        <v>1153</v>
      </c>
      <c r="I156" s="260">
        <v>3341042</v>
      </c>
      <c r="J156" s="62"/>
      <c r="K156" s="12"/>
      <c r="L156" s="260"/>
      <c r="M156" s="260"/>
      <c r="N156" s="303"/>
      <c r="O156" s="303"/>
      <c r="P156" s="12"/>
      <c r="Q156" s="303"/>
      <c r="R156" s="303"/>
      <c r="S156" s="110"/>
      <c r="T156" s="360">
        <f t="shared" si="6"/>
        <v>0</v>
      </c>
      <c r="U156" s="349"/>
      <c r="V156" s="12"/>
      <c r="W156" s="260"/>
      <c r="X156" s="260"/>
      <c r="Y156" s="260"/>
      <c r="Z156" s="260"/>
      <c r="AA156" s="260"/>
      <c r="AB156" s="260"/>
      <c r="AC156" s="260"/>
      <c r="AD156" s="260"/>
      <c r="AE156" s="320"/>
      <c r="AF156" s="30"/>
      <c r="AG156" s="75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261"/>
      <c r="AU156" s="261"/>
      <c r="AV156" s="261"/>
    </row>
    <row r="157" spans="1:48" ht="21.95" customHeight="1" x14ac:dyDescent="0.25">
      <c r="A157" s="167">
        <v>160</v>
      </c>
      <c r="B157" s="263">
        <v>413</v>
      </c>
      <c r="C157" s="30" t="s">
        <v>1154</v>
      </c>
      <c r="D157" s="30"/>
      <c r="E157" s="30"/>
      <c r="F157" s="30"/>
      <c r="G157" s="30"/>
      <c r="H157" s="29" t="s">
        <v>1155</v>
      </c>
      <c r="I157" s="260"/>
      <c r="J157" s="62" t="s">
        <v>1071</v>
      </c>
      <c r="K157" s="12"/>
      <c r="L157" s="260"/>
      <c r="M157" s="260"/>
      <c r="N157" s="303"/>
      <c r="O157" s="303"/>
      <c r="P157" s="12"/>
      <c r="Q157" s="303"/>
      <c r="R157" s="303">
        <v>5</v>
      </c>
      <c r="S157" s="110">
        <v>14558</v>
      </c>
      <c r="T157" s="360">
        <f t="shared" si="6"/>
        <v>14558</v>
      </c>
      <c r="U157" s="349"/>
      <c r="V157" s="12"/>
      <c r="W157" s="260"/>
      <c r="X157" s="260"/>
      <c r="Y157" s="260"/>
      <c r="Z157" s="260"/>
      <c r="AA157" s="260"/>
      <c r="AB157" s="260"/>
      <c r="AC157" s="260"/>
      <c r="AD157" s="260"/>
      <c r="AE157" s="320"/>
      <c r="AF157" s="30"/>
      <c r="AG157" s="75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261"/>
      <c r="AU157" s="261"/>
      <c r="AV157" s="261"/>
    </row>
    <row r="158" spans="1:48" ht="21.95" customHeight="1" x14ac:dyDescent="0.25">
      <c r="A158" s="167">
        <v>161</v>
      </c>
      <c r="B158" s="263">
        <v>414</v>
      </c>
      <c r="C158" s="30" t="s">
        <v>1156</v>
      </c>
      <c r="D158" s="30"/>
      <c r="E158" s="30"/>
      <c r="F158" s="30"/>
      <c r="G158" s="30"/>
      <c r="H158" s="29" t="s">
        <v>1160</v>
      </c>
      <c r="I158" s="260">
        <v>6850754</v>
      </c>
      <c r="J158" s="62" t="s">
        <v>1157</v>
      </c>
      <c r="K158" s="12"/>
      <c r="L158" s="260"/>
      <c r="M158" s="260"/>
      <c r="N158" s="303"/>
      <c r="O158" s="303"/>
      <c r="P158" s="12"/>
      <c r="Q158" s="303"/>
      <c r="R158" s="303">
        <v>10</v>
      </c>
      <c r="S158" s="110">
        <v>13824</v>
      </c>
      <c r="T158" s="360">
        <f t="shared" si="6"/>
        <v>13824</v>
      </c>
      <c r="U158" s="349"/>
      <c r="V158" s="12"/>
      <c r="W158" s="260"/>
      <c r="X158" s="260"/>
      <c r="Y158" s="260"/>
      <c r="Z158" s="260"/>
      <c r="AA158" s="260"/>
      <c r="AB158" s="260"/>
      <c r="AC158" s="260"/>
      <c r="AD158" s="260"/>
      <c r="AE158" s="320"/>
      <c r="AF158" s="30"/>
      <c r="AG158" s="75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261"/>
      <c r="AU158" s="261"/>
      <c r="AV158" s="261"/>
    </row>
    <row r="159" spans="1:48" ht="21.95" customHeight="1" x14ac:dyDescent="0.25">
      <c r="A159" s="167">
        <v>162</v>
      </c>
      <c r="B159" s="30">
        <v>415</v>
      </c>
      <c r="C159" s="30" t="s">
        <v>1158</v>
      </c>
      <c r="D159" s="30"/>
      <c r="E159" s="30"/>
      <c r="F159" s="30"/>
      <c r="G159" s="30"/>
      <c r="H159" s="29" t="s">
        <v>1159</v>
      </c>
      <c r="I159" s="260" t="s">
        <v>1161</v>
      </c>
      <c r="J159" s="62" t="s">
        <v>1071</v>
      </c>
      <c r="K159" s="12"/>
      <c r="L159" s="260"/>
      <c r="M159" s="260"/>
      <c r="N159" s="303"/>
      <c r="O159" s="303"/>
      <c r="P159" s="12"/>
      <c r="Q159" s="303"/>
      <c r="R159" s="303">
        <v>5</v>
      </c>
      <c r="S159" s="110">
        <v>7154</v>
      </c>
      <c r="T159" s="360">
        <f t="shared" si="6"/>
        <v>7154</v>
      </c>
      <c r="U159" s="349"/>
      <c r="V159" s="12"/>
      <c r="W159" s="260"/>
      <c r="X159" s="260"/>
      <c r="Y159" s="260"/>
      <c r="Z159" s="260"/>
      <c r="AA159" s="260"/>
      <c r="AB159" s="260"/>
      <c r="AC159" s="260"/>
      <c r="AD159" s="260"/>
      <c r="AE159" s="320"/>
      <c r="AF159" s="30"/>
      <c r="AG159" s="75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261"/>
      <c r="AU159" s="261"/>
      <c r="AV159" s="261"/>
    </row>
    <row r="160" spans="1:48" ht="21.95" customHeight="1" x14ac:dyDescent="0.25">
      <c r="A160" s="167">
        <v>163</v>
      </c>
      <c r="B160" s="30">
        <v>416</v>
      </c>
      <c r="C160" s="30" t="s">
        <v>467</v>
      </c>
      <c r="D160" s="30"/>
      <c r="E160" s="30" t="s">
        <v>212</v>
      </c>
      <c r="F160" s="30"/>
      <c r="G160" s="30"/>
      <c r="H160" s="29" t="s">
        <v>1162</v>
      </c>
      <c r="I160" s="260"/>
      <c r="J160" s="62"/>
      <c r="K160" s="12"/>
      <c r="L160" s="260"/>
      <c r="M160" s="260"/>
      <c r="N160" s="303"/>
      <c r="O160" s="303"/>
      <c r="P160" s="12"/>
      <c r="Q160" s="303"/>
      <c r="R160" s="303"/>
      <c r="S160" s="110"/>
      <c r="T160" s="360">
        <f t="shared" si="6"/>
        <v>0</v>
      </c>
      <c r="U160" s="349"/>
      <c r="V160" s="12"/>
      <c r="W160" s="260"/>
      <c r="X160" s="260"/>
      <c r="Y160" s="260"/>
      <c r="Z160" s="260"/>
      <c r="AA160" s="260"/>
      <c r="AB160" s="260"/>
      <c r="AC160" s="260"/>
      <c r="AD160" s="260"/>
      <c r="AE160" s="320"/>
      <c r="AF160" s="30"/>
      <c r="AG160" s="75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261"/>
      <c r="AU160" s="261"/>
      <c r="AV160" s="261"/>
    </row>
    <row r="161" spans="1:48" ht="21.95" customHeight="1" x14ac:dyDescent="0.25">
      <c r="A161" s="167">
        <v>164</v>
      </c>
      <c r="B161" s="30">
        <v>417</v>
      </c>
      <c r="C161" s="30" t="s">
        <v>1163</v>
      </c>
      <c r="D161" s="30"/>
      <c r="E161" s="30" t="s">
        <v>212</v>
      </c>
      <c r="F161" s="30"/>
      <c r="G161" s="30"/>
      <c r="H161" s="29" t="s">
        <v>1164</v>
      </c>
      <c r="I161" s="260"/>
      <c r="J161" s="62"/>
      <c r="K161" s="12"/>
      <c r="L161" s="260"/>
      <c r="M161" s="260"/>
      <c r="N161" s="303"/>
      <c r="O161" s="303"/>
      <c r="P161" s="12"/>
      <c r="Q161" s="303"/>
      <c r="R161" s="303"/>
      <c r="S161" s="110"/>
      <c r="T161" s="360">
        <f t="shared" si="6"/>
        <v>0</v>
      </c>
      <c r="U161" s="349"/>
      <c r="V161" s="12"/>
      <c r="W161" s="260"/>
      <c r="X161" s="260"/>
      <c r="Y161" s="260"/>
      <c r="Z161" s="260"/>
      <c r="AA161" s="260"/>
      <c r="AB161" s="260"/>
      <c r="AC161" s="260"/>
      <c r="AD161" s="260"/>
      <c r="AE161" s="320"/>
      <c r="AF161" s="30"/>
      <c r="AG161" s="75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261"/>
      <c r="AU161" s="261"/>
      <c r="AV161" s="261"/>
    </row>
    <row r="162" spans="1:48" s="66" customFormat="1" ht="21.95" customHeight="1" x14ac:dyDescent="0.25">
      <c r="A162" s="167">
        <v>165</v>
      </c>
      <c r="B162" s="167">
        <v>418</v>
      </c>
      <c r="C162" s="167" t="s">
        <v>1165</v>
      </c>
      <c r="D162" s="502" t="s">
        <v>1554</v>
      </c>
      <c r="E162" s="167" t="s">
        <v>1556</v>
      </c>
      <c r="F162" s="167"/>
      <c r="G162" s="167"/>
      <c r="H162" s="49" t="s">
        <v>1166</v>
      </c>
      <c r="I162" s="370">
        <v>6453236</v>
      </c>
      <c r="J162" s="369" t="s">
        <v>1167</v>
      </c>
      <c r="K162" s="371">
        <v>5840</v>
      </c>
      <c r="L162" s="370" t="s">
        <v>1321</v>
      </c>
      <c r="M162" s="370">
        <v>7</v>
      </c>
      <c r="N162" s="370"/>
      <c r="O162" s="370"/>
      <c r="P162" s="371"/>
      <c r="Q162" s="392" t="s">
        <v>1321</v>
      </c>
      <c r="R162" s="370">
        <f>M162-O162</f>
        <v>7</v>
      </c>
      <c r="S162" s="294">
        <f>K162-P162</f>
        <v>5840</v>
      </c>
      <c r="T162" s="365">
        <f t="shared" si="6"/>
        <v>5840</v>
      </c>
      <c r="U162" s="351"/>
      <c r="V162" s="371"/>
      <c r="W162" s="370"/>
      <c r="X162" s="370"/>
      <c r="Y162" s="370">
        <v>1</v>
      </c>
      <c r="Z162" s="370"/>
      <c r="AA162" s="370"/>
      <c r="AB162" s="370"/>
      <c r="AC162" s="370"/>
      <c r="AD162" s="370"/>
      <c r="AE162" s="74"/>
      <c r="AF162" s="167"/>
      <c r="AG162" s="77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 t="s">
        <v>571</v>
      </c>
      <c r="AT162" s="167">
        <v>1</v>
      </c>
      <c r="AU162" s="167"/>
      <c r="AV162" s="167"/>
    </row>
    <row r="163" spans="1:48" ht="21.95" customHeight="1" x14ac:dyDescent="0.25">
      <c r="A163" s="167">
        <v>166</v>
      </c>
      <c r="B163" s="30">
        <v>419</v>
      </c>
      <c r="C163" s="30" t="s">
        <v>1168</v>
      </c>
      <c r="D163" s="30"/>
      <c r="E163" s="30"/>
      <c r="F163" s="30"/>
      <c r="G163" s="30"/>
      <c r="H163" s="29" t="s">
        <v>1169</v>
      </c>
      <c r="I163" s="260">
        <v>6457794</v>
      </c>
      <c r="J163" s="62" t="s">
        <v>1170</v>
      </c>
      <c r="K163" s="12">
        <v>22935</v>
      </c>
      <c r="L163" s="260" t="s">
        <v>1171</v>
      </c>
      <c r="M163" s="260">
        <v>12</v>
      </c>
      <c r="N163" s="303"/>
      <c r="O163" s="303"/>
      <c r="P163" s="12"/>
      <c r="Q163" s="303"/>
      <c r="R163" s="303">
        <v>12</v>
      </c>
      <c r="S163" s="110">
        <v>22935</v>
      </c>
      <c r="T163" s="360">
        <f t="shared" ref="T163" si="10">P163+S163</f>
        <v>22935</v>
      </c>
      <c r="U163" s="349"/>
      <c r="V163" s="12"/>
      <c r="W163" s="260"/>
      <c r="X163" s="260"/>
      <c r="Y163" s="260"/>
      <c r="Z163" s="260"/>
      <c r="AA163" s="260"/>
      <c r="AB163" s="260"/>
      <c r="AC163" s="260"/>
      <c r="AD163" s="260"/>
      <c r="AE163" s="320"/>
      <c r="AF163" s="30"/>
      <c r="AG163" s="75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261"/>
      <c r="AU163" s="261"/>
      <c r="AV163" s="261"/>
    </row>
    <row r="164" spans="1:48" ht="21.95" customHeight="1" x14ac:dyDescent="0.25">
      <c r="A164" s="167">
        <v>167</v>
      </c>
      <c r="B164" s="30">
        <v>420</v>
      </c>
      <c r="C164" s="30" t="s">
        <v>1243</v>
      </c>
      <c r="D164" s="30"/>
      <c r="E164" s="30"/>
      <c r="F164" s="30"/>
      <c r="G164" s="30"/>
      <c r="H164" s="29" t="s">
        <v>1260</v>
      </c>
      <c r="I164" s="368">
        <v>5912880</v>
      </c>
      <c r="J164" s="373" t="s">
        <v>605</v>
      </c>
      <c r="K164" s="374">
        <v>38547</v>
      </c>
      <c r="L164" s="368" t="s">
        <v>1261</v>
      </c>
      <c r="M164" s="368">
        <v>15</v>
      </c>
      <c r="N164" s="368"/>
      <c r="O164" s="368"/>
      <c r="P164" s="374"/>
      <c r="Q164" s="368"/>
      <c r="R164" s="368"/>
      <c r="S164" s="12"/>
      <c r="T164" s="360"/>
      <c r="U164" s="12"/>
      <c r="V164" s="12"/>
      <c r="W164" s="368"/>
      <c r="X164" s="368"/>
      <c r="Y164" s="368"/>
      <c r="Z164" s="368"/>
      <c r="AA164" s="368"/>
      <c r="AB164" s="368"/>
      <c r="AC164" s="368"/>
      <c r="AD164" s="368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67"/>
      <c r="AU164" s="367"/>
      <c r="AV164" s="367"/>
    </row>
    <row r="165" spans="1:48" ht="21.95" customHeight="1" x14ac:dyDescent="0.25">
      <c r="A165" s="167">
        <v>168</v>
      </c>
      <c r="B165" s="30">
        <v>421</v>
      </c>
      <c r="C165" s="30" t="s">
        <v>1246</v>
      </c>
      <c r="D165" s="30"/>
      <c r="E165" s="30"/>
      <c r="F165" s="30"/>
      <c r="G165" s="30"/>
      <c r="H165" s="29" t="s">
        <v>1247</v>
      </c>
      <c r="I165" s="368">
        <v>71111392</v>
      </c>
      <c r="J165" s="373" t="s">
        <v>640</v>
      </c>
      <c r="K165" s="374">
        <v>888</v>
      </c>
      <c r="L165" s="368"/>
      <c r="M165" s="368"/>
      <c r="N165" s="368"/>
      <c r="O165" s="368"/>
      <c r="P165" s="374"/>
      <c r="Q165" s="368"/>
      <c r="R165" s="368"/>
      <c r="S165" s="12"/>
      <c r="T165" s="360"/>
      <c r="U165" s="12"/>
      <c r="V165" s="12"/>
      <c r="W165" s="368"/>
      <c r="X165" s="368"/>
      <c r="Y165" s="368"/>
      <c r="Z165" s="368"/>
      <c r="AA165" s="368"/>
      <c r="AB165" s="368"/>
      <c r="AC165" s="368"/>
      <c r="AD165" s="368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67"/>
      <c r="AU165" s="367"/>
      <c r="AV165" s="367"/>
    </row>
    <row r="166" spans="1:48" ht="21.95" customHeight="1" x14ac:dyDescent="0.25">
      <c r="A166" s="167">
        <v>169</v>
      </c>
      <c r="B166" s="30">
        <v>422</v>
      </c>
      <c r="C166" s="30" t="s">
        <v>1244</v>
      </c>
      <c r="D166" s="30"/>
      <c r="E166" s="30" t="s">
        <v>1245</v>
      </c>
      <c r="F166" s="30"/>
      <c r="G166" s="30"/>
      <c r="H166" s="29" t="s">
        <v>1248</v>
      </c>
      <c r="I166" s="368"/>
      <c r="J166" s="373"/>
      <c r="K166" s="374"/>
      <c r="L166" s="368"/>
      <c r="M166" s="368"/>
      <c r="N166" s="368"/>
      <c r="O166" s="368"/>
      <c r="P166" s="374"/>
      <c r="Q166" s="368"/>
      <c r="R166" s="368"/>
      <c r="S166" s="12"/>
      <c r="T166" s="360"/>
      <c r="U166" s="12"/>
      <c r="V166" s="12"/>
      <c r="W166" s="368"/>
      <c r="X166" s="368"/>
      <c r="Y166" s="368"/>
      <c r="Z166" s="368"/>
      <c r="AA166" s="368"/>
      <c r="AB166" s="368"/>
      <c r="AC166" s="368"/>
      <c r="AD166" s="368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67"/>
      <c r="AU166" s="367"/>
      <c r="AV166" s="367"/>
    </row>
    <row r="167" spans="1:48" ht="21.95" customHeight="1" x14ac:dyDescent="0.25">
      <c r="A167" s="167">
        <v>170</v>
      </c>
      <c r="B167" s="30">
        <v>423</v>
      </c>
      <c r="C167" s="30" t="s">
        <v>1249</v>
      </c>
      <c r="D167" s="30"/>
      <c r="E167" s="30"/>
      <c r="F167" s="30"/>
      <c r="G167" s="30"/>
      <c r="H167" s="29" t="s">
        <v>1250</v>
      </c>
      <c r="I167" s="368">
        <v>1341501</v>
      </c>
      <c r="J167" s="373" t="s">
        <v>742</v>
      </c>
      <c r="K167" s="374">
        <v>1255</v>
      </c>
      <c r="L167" s="368" t="s">
        <v>1262</v>
      </c>
      <c r="M167" s="368">
        <v>3</v>
      </c>
      <c r="N167" s="368"/>
      <c r="O167" s="368"/>
      <c r="P167" s="374"/>
      <c r="Q167" s="368"/>
      <c r="R167" s="368"/>
      <c r="S167" s="12"/>
      <c r="T167" s="360"/>
      <c r="U167" s="12"/>
      <c r="V167" s="12"/>
      <c r="W167" s="368"/>
      <c r="X167" s="368"/>
      <c r="Y167" s="368"/>
      <c r="Z167" s="368"/>
      <c r="AA167" s="368"/>
      <c r="AB167" s="368"/>
      <c r="AC167" s="368"/>
      <c r="AD167" s="368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67"/>
      <c r="AU167" s="367"/>
      <c r="AV167" s="367"/>
    </row>
    <row r="168" spans="1:48" s="66" customFormat="1" ht="21.95" customHeight="1" x14ac:dyDescent="0.25">
      <c r="A168" s="167">
        <v>171</v>
      </c>
      <c r="B168" s="167">
        <v>424</v>
      </c>
      <c r="C168" s="167" t="s">
        <v>1251</v>
      </c>
      <c r="D168" s="502" t="s">
        <v>1554</v>
      </c>
      <c r="E168" s="167" t="s">
        <v>1556</v>
      </c>
      <c r="F168" s="167"/>
      <c r="G168" s="167"/>
      <c r="H168" s="49" t="s">
        <v>1252</v>
      </c>
      <c r="I168" s="370" t="s">
        <v>1263</v>
      </c>
      <c r="J168" s="376" t="s">
        <v>1264</v>
      </c>
      <c r="K168" s="372">
        <v>15991</v>
      </c>
      <c r="L168" s="370" t="s">
        <v>1265</v>
      </c>
      <c r="M168" s="370">
        <v>12</v>
      </c>
      <c r="N168" s="370">
        <v>1</v>
      </c>
      <c r="O168" s="370">
        <v>1</v>
      </c>
      <c r="P168" s="372">
        <v>1608</v>
      </c>
      <c r="Q168" s="392" t="s">
        <v>1322</v>
      </c>
      <c r="R168" s="370">
        <f>M168-O168</f>
        <v>11</v>
      </c>
      <c r="S168" s="371">
        <f>K168-P168</f>
        <v>14383</v>
      </c>
      <c r="T168" s="365">
        <f>P168+S168</f>
        <v>15991</v>
      </c>
      <c r="U168" s="371"/>
      <c r="V168" s="371"/>
      <c r="W168" s="370"/>
      <c r="X168" s="370"/>
      <c r="Y168" s="370"/>
      <c r="Z168" s="370"/>
      <c r="AA168" s="370"/>
      <c r="AB168" s="370"/>
      <c r="AC168" s="370"/>
      <c r="AD168" s="370"/>
      <c r="AE168" s="167">
        <v>1</v>
      </c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 t="s">
        <v>571</v>
      </c>
      <c r="AT168" s="167">
        <v>1</v>
      </c>
      <c r="AU168" s="167"/>
      <c r="AV168" s="167"/>
    </row>
    <row r="169" spans="1:48" ht="26.25" customHeight="1" x14ac:dyDescent="0.25">
      <c r="A169" s="167">
        <v>172</v>
      </c>
      <c r="B169" s="30">
        <v>425</v>
      </c>
      <c r="C169" s="30" t="s">
        <v>1253</v>
      </c>
      <c r="D169" s="30"/>
      <c r="E169" s="30"/>
      <c r="F169" s="30"/>
      <c r="G169" s="30"/>
      <c r="H169" s="375" t="s">
        <v>1268</v>
      </c>
      <c r="I169" s="368" t="s">
        <v>1266</v>
      </c>
      <c r="J169" s="373" t="s">
        <v>1267</v>
      </c>
      <c r="K169" s="374">
        <v>67000</v>
      </c>
      <c r="L169" s="368"/>
      <c r="M169" s="368"/>
      <c r="N169" s="368"/>
      <c r="O169" s="368"/>
      <c r="P169" s="374"/>
      <c r="Q169" s="368"/>
      <c r="R169" s="368"/>
      <c r="S169" s="12"/>
      <c r="T169" s="360"/>
      <c r="U169" s="12"/>
      <c r="V169" s="12"/>
      <c r="W169" s="368"/>
      <c r="X169" s="368"/>
      <c r="Y169" s="368"/>
      <c r="Z169" s="368"/>
      <c r="AA169" s="368"/>
      <c r="AB169" s="368"/>
      <c r="AC169" s="368"/>
      <c r="AD169" s="368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67"/>
      <c r="AU169" s="367"/>
      <c r="AV169" s="367"/>
    </row>
    <row r="170" spans="1:48" ht="21.95" customHeight="1" x14ac:dyDescent="0.25">
      <c r="A170" s="167">
        <v>173</v>
      </c>
      <c r="B170" s="30">
        <v>426</v>
      </c>
      <c r="C170" s="30" t="s">
        <v>1254</v>
      </c>
      <c r="D170" s="30"/>
      <c r="E170" s="30"/>
      <c r="F170" s="30"/>
      <c r="G170" s="30"/>
      <c r="H170" s="29" t="s">
        <v>1255</v>
      </c>
      <c r="I170" s="368">
        <v>6854333</v>
      </c>
      <c r="J170" s="373" t="s">
        <v>1269</v>
      </c>
      <c r="K170" s="374">
        <v>41494</v>
      </c>
      <c r="L170" s="368" t="s">
        <v>1270</v>
      </c>
      <c r="M170" s="368">
        <v>22</v>
      </c>
      <c r="N170" s="368"/>
      <c r="O170" s="368"/>
      <c r="P170" s="374"/>
      <c r="Q170" s="368"/>
      <c r="R170" s="368"/>
      <c r="S170" s="12"/>
      <c r="T170" s="360"/>
      <c r="U170" s="12"/>
      <c r="V170" s="12"/>
      <c r="W170" s="368"/>
      <c r="X170" s="368"/>
      <c r="Y170" s="368"/>
      <c r="Z170" s="368"/>
      <c r="AA170" s="368"/>
      <c r="AB170" s="368"/>
      <c r="AC170" s="368"/>
      <c r="AD170" s="368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67"/>
      <c r="AU170" s="367"/>
      <c r="AV170" s="367"/>
    </row>
    <row r="171" spans="1:48" ht="21.95" customHeight="1" x14ac:dyDescent="0.25">
      <c r="A171" s="167">
        <v>174</v>
      </c>
      <c r="B171" s="30">
        <v>428</v>
      </c>
      <c r="C171" s="30" t="s">
        <v>1258</v>
      </c>
      <c r="D171" s="30"/>
      <c r="E171" s="30"/>
      <c r="F171" s="30"/>
      <c r="G171" s="30"/>
      <c r="H171" s="29" t="s">
        <v>1259</v>
      </c>
      <c r="I171" s="398" t="s">
        <v>1272</v>
      </c>
      <c r="J171" s="62" t="s">
        <v>1071</v>
      </c>
      <c r="K171" s="12">
        <v>7937</v>
      </c>
      <c r="L171" s="398" t="s">
        <v>1273</v>
      </c>
      <c r="M171" s="398">
        <v>6</v>
      </c>
      <c r="N171" s="398"/>
      <c r="O171" s="398"/>
      <c r="P171" s="12"/>
      <c r="Q171" s="398"/>
      <c r="R171" s="398"/>
      <c r="S171" s="12"/>
      <c r="T171" s="360"/>
      <c r="U171" s="12"/>
      <c r="V171" s="12"/>
      <c r="W171" s="368"/>
      <c r="X171" s="368"/>
      <c r="Y171" s="368"/>
      <c r="Z171" s="368"/>
      <c r="AA171" s="368"/>
      <c r="AB171" s="368"/>
      <c r="AC171" s="368"/>
      <c r="AD171" s="368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67"/>
      <c r="AU171" s="367"/>
      <c r="AV171" s="367"/>
    </row>
    <row r="172" spans="1:48" ht="21.95" customHeight="1" x14ac:dyDescent="0.25">
      <c r="A172" s="167">
        <v>175</v>
      </c>
      <c r="B172" s="30">
        <v>429</v>
      </c>
      <c r="C172" s="30" t="s">
        <v>1458</v>
      </c>
      <c r="D172" s="30"/>
      <c r="E172" s="30"/>
      <c r="F172" s="30"/>
      <c r="G172" s="30"/>
      <c r="H172" s="29" t="s">
        <v>1459</v>
      </c>
      <c r="I172" s="408">
        <v>6488632</v>
      </c>
      <c r="J172" s="62" t="s">
        <v>1460</v>
      </c>
      <c r="K172" s="12">
        <v>21255</v>
      </c>
      <c r="L172" s="398" t="s">
        <v>1483</v>
      </c>
      <c r="M172" s="398">
        <v>15</v>
      </c>
      <c r="N172" s="398"/>
      <c r="O172" s="398"/>
      <c r="P172" s="12"/>
      <c r="Q172" s="398"/>
      <c r="R172" s="398"/>
      <c r="S172" s="12"/>
      <c r="T172" s="360"/>
      <c r="U172" s="12"/>
      <c r="V172" s="12"/>
      <c r="W172" s="368"/>
      <c r="X172" s="368"/>
      <c r="Y172" s="368"/>
      <c r="Z172" s="368"/>
      <c r="AA172" s="368"/>
      <c r="AB172" s="368"/>
      <c r="AC172" s="368"/>
      <c r="AD172" s="368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67"/>
      <c r="AU172" s="367"/>
      <c r="AV172" s="367"/>
    </row>
    <row r="173" spans="1:48" ht="21.95" customHeight="1" x14ac:dyDescent="0.25">
      <c r="A173" s="167">
        <v>176</v>
      </c>
      <c r="B173" s="403">
        <v>430</v>
      </c>
      <c r="C173" s="403" t="s">
        <v>1461</v>
      </c>
      <c r="D173" s="505"/>
      <c r="E173" s="403"/>
      <c r="F173" s="403"/>
      <c r="G173" s="403"/>
      <c r="H173" s="29" t="s">
        <v>1462</v>
      </c>
      <c r="I173" s="398" t="s">
        <v>1463</v>
      </c>
      <c r="J173" s="62" t="s">
        <v>1464</v>
      </c>
      <c r="K173" s="12">
        <v>18150</v>
      </c>
      <c r="L173" s="398" t="s">
        <v>1485</v>
      </c>
      <c r="M173" s="398">
        <v>11</v>
      </c>
      <c r="N173" s="398"/>
      <c r="O173" s="398"/>
      <c r="P173" s="12"/>
      <c r="Q173" s="398"/>
      <c r="R173" s="398"/>
      <c r="S173" s="71"/>
      <c r="T173" s="415"/>
      <c r="U173" s="71"/>
      <c r="V173" s="71"/>
      <c r="W173" s="402"/>
      <c r="X173" s="402"/>
      <c r="Y173" s="402"/>
      <c r="Z173" s="402"/>
      <c r="AA173" s="402"/>
      <c r="AB173" s="402"/>
      <c r="AC173" s="402"/>
      <c r="AD173" s="402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67"/>
      <c r="AU173" s="367"/>
      <c r="AV173" s="367"/>
    </row>
    <row r="174" spans="1:48" ht="36.75" customHeight="1" x14ac:dyDescent="0.25">
      <c r="A174" s="167">
        <v>177</v>
      </c>
      <c r="B174" s="403">
        <v>431</v>
      </c>
      <c r="C174" s="403" t="s">
        <v>1465</v>
      </c>
      <c r="D174" s="505"/>
      <c r="E174" s="403"/>
      <c r="F174" s="403"/>
      <c r="G174" s="403"/>
      <c r="H174" s="29" t="s">
        <v>1466</v>
      </c>
      <c r="I174" s="398" t="s">
        <v>1467</v>
      </c>
      <c r="J174" s="62" t="s">
        <v>754</v>
      </c>
      <c r="K174" s="12">
        <v>21651</v>
      </c>
      <c r="L174" s="62" t="s">
        <v>1484</v>
      </c>
      <c r="M174" s="398">
        <v>16</v>
      </c>
      <c r="N174" s="398"/>
      <c r="O174" s="398"/>
      <c r="P174" s="12"/>
      <c r="Q174" s="398"/>
      <c r="R174" s="398"/>
      <c r="S174" s="71"/>
      <c r="T174" s="415"/>
      <c r="U174" s="71"/>
      <c r="V174" s="71"/>
      <c r="W174" s="402"/>
      <c r="X174" s="402"/>
      <c r="Y174" s="402"/>
      <c r="Z174" s="402"/>
      <c r="AA174" s="402"/>
      <c r="AB174" s="402"/>
      <c r="AC174" s="402"/>
      <c r="AD174" s="402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401"/>
      <c r="AU174" s="401"/>
      <c r="AV174" s="401"/>
    </row>
    <row r="175" spans="1:48" ht="21.95" customHeight="1" x14ac:dyDescent="0.25">
      <c r="A175" s="167" t="s">
        <v>258</v>
      </c>
      <c r="B175" s="403">
        <v>432</v>
      </c>
      <c r="C175" s="403" t="s">
        <v>1549</v>
      </c>
      <c r="D175" s="501" t="s">
        <v>1554</v>
      </c>
      <c r="E175" s="403" t="s">
        <v>345</v>
      </c>
      <c r="F175" s="403"/>
      <c r="G175" s="403"/>
      <c r="H175" s="29" t="s">
        <v>1550</v>
      </c>
      <c r="I175" s="475">
        <v>1010337</v>
      </c>
      <c r="J175" s="62" t="s">
        <v>591</v>
      </c>
      <c r="K175" s="12">
        <v>23984</v>
      </c>
      <c r="L175" s="398" t="s">
        <v>592</v>
      </c>
      <c r="M175" s="398">
        <v>15</v>
      </c>
      <c r="N175" s="398"/>
      <c r="O175" s="398"/>
      <c r="P175" s="12"/>
      <c r="Q175" s="398"/>
      <c r="R175" s="398"/>
      <c r="S175" s="71"/>
      <c r="T175" s="415"/>
      <c r="U175" s="71"/>
      <c r="V175" s="71"/>
      <c r="W175" s="402"/>
      <c r="X175" s="402"/>
      <c r="Y175" s="402"/>
      <c r="Z175" s="402"/>
      <c r="AA175" s="402"/>
      <c r="AB175" s="402"/>
      <c r="AC175" s="402"/>
      <c r="AD175" s="402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401"/>
      <c r="AU175" s="401"/>
      <c r="AV175" s="401"/>
    </row>
    <row r="176" spans="1:48" ht="21.95" customHeight="1" x14ac:dyDescent="0.25">
      <c r="A176" s="167">
        <v>179</v>
      </c>
      <c r="B176" s="403">
        <v>433</v>
      </c>
      <c r="C176" s="403" t="s">
        <v>1468</v>
      </c>
      <c r="D176" s="505"/>
      <c r="E176" s="403"/>
      <c r="F176" s="403"/>
      <c r="G176" s="403"/>
      <c r="H176" s="29" t="s">
        <v>1469</v>
      </c>
      <c r="I176" s="408">
        <v>6854445</v>
      </c>
      <c r="J176" s="62" t="s">
        <v>1470</v>
      </c>
      <c r="K176" s="12">
        <v>22082</v>
      </c>
      <c r="L176" s="398" t="s">
        <v>1482</v>
      </c>
      <c r="M176" s="398">
        <v>11</v>
      </c>
      <c r="N176" s="398"/>
      <c r="O176" s="398"/>
      <c r="P176" s="12"/>
      <c r="Q176" s="398"/>
      <c r="R176" s="398"/>
      <c r="S176" s="71"/>
      <c r="T176" s="415"/>
      <c r="U176" s="71"/>
      <c r="V176" s="71"/>
      <c r="W176" s="402"/>
      <c r="X176" s="402"/>
      <c r="Y176" s="402"/>
      <c r="Z176" s="402"/>
      <c r="AA176" s="402"/>
      <c r="AB176" s="402"/>
      <c r="AC176" s="402"/>
      <c r="AD176" s="402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401"/>
      <c r="AU176" s="401"/>
      <c r="AV176" s="401"/>
    </row>
    <row r="177" spans="1:48" ht="21.95" customHeight="1" x14ac:dyDescent="0.25">
      <c r="A177" s="167">
        <v>180</v>
      </c>
      <c r="B177" s="403">
        <v>434</v>
      </c>
      <c r="C177" s="403" t="s">
        <v>1471</v>
      </c>
      <c r="D177" s="505"/>
      <c r="E177" s="403"/>
      <c r="F177" s="403"/>
      <c r="G177" s="403"/>
      <c r="H177" s="29" t="s">
        <v>1481</v>
      </c>
      <c r="I177" s="408">
        <v>6730130</v>
      </c>
      <c r="J177" s="62" t="s">
        <v>1474</v>
      </c>
      <c r="K177" s="12">
        <v>33789</v>
      </c>
      <c r="L177" s="398" t="s">
        <v>1480</v>
      </c>
      <c r="M177" s="398">
        <v>9</v>
      </c>
      <c r="N177" s="398"/>
      <c r="O177" s="398"/>
      <c r="P177" s="12"/>
      <c r="Q177" s="398"/>
      <c r="R177" s="398"/>
      <c r="S177" s="71"/>
      <c r="T177" s="415"/>
      <c r="U177" s="71"/>
      <c r="V177" s="71"/>
      <c r="W177" s="402"/>
      <c r="X177" s="402"/>
      <c r="Y177" s="402"/>
      <c r="Z177" s="402"/>
      <c r="AA177" s="402"/>
      <c r="AB177" s="402"/>
      <c r="AC177" s="402"/>
      <c r="AD177" s="402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401"/>
      <c r="AU177" s="401"/>
      <c r="AV177" s="401"/>
    </row>
    <row r="178" spans="1:48" ht="21.95" customHeight="1" x14ac:dyDescent="0.25">
      <c r="A178" s="167">
        <v>181</v>
      </c>
      <c r="B178" s="403">
        <v>435</v>
      </c>
      <c r="C178" s="403" t="s">
        <v>1472</v>
      </c>
      <c r="D178" s="501" t="s">
        <v>1084</v>
      </c>
      <c r="E178" s="403" t="s">
        <v>346</v>
      </c>
      <c r="F178" s="403"/>
      <c r="G178" s="403"/>
      <c r="H178" s="73" t="s">
        <v>1473</v>
      </c>
      <c r="I178" s="408">
        <v>1341562</v>
      </c>
      <c r="J178" s="62" t="s">
        <v>1474</v>
      </c>
      <c r="K178" s="12">
        <v>25676</v>
      </c>
      <c r="L178" s="398" t="s">
        <v>1479</v>
      </c>
      <c r="M178" s="398">
        <v>26</v>
      </c>
      <c r="N178" s="398"/>
      <c r="O178" s="398"/>
      <c r="P178" s="12"/>
      <c r="Q178" s="398"/>
      <c r="R178" s="398"/>
      <c r="S178" s="71"/>
      <c r="T178" s="415"/>
      <c r="U178" s="71"/>
      <c r="V178" s="71"/>
      <c r="W178" s="402"/>
      <c r="X178" s="402"/>
      <c r="Y178" s="402"/>
      <c r="Z178" s="402"/>
      <c r="AA178" s="402"/>
      <c r="AB178" s="402"/>
      <c r="AC178" s="402"/>
      <c r="AD178" s="402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401"/>
      <c r="AU178" s="401"/>
      <c r="AV178" s="401"/>
    </row>
    <row r="179" spans="1:48" ht="21.95" customHeight="1" x14ac:dyDescent="0.25">
      <c r="A179" s="167">
        <v>182</v>
      </c>
      <c r="B179" s="403">
        <v>436</v>
      </c>
      <c r="C179" s="30" t="s">
        <v>1475</v>
      </c>
      <c r="D179" s="30"/>
      <c r="E179" s="30"/>
      <c r="F179" s="30"/>
      <c r="G179" s="30"/>
      <c r="H179" s="29" t="s">
        <v>1476</v>
      </c>
      <c r="I179" s="408">
        <v>6181335</v>
      </c>
      <c r="J179" s="62" t="s">
        <v>1477</v>
      </c>
      <c r="K179" s="12">
        <v>5530</v>
      </c>
      <c r="L179" s="398" t="s">
        <v>1478</v>
      </c>
      <c r="M179" s="398">
        <v>6</v>
      </c>
      <c r="N179" s="398"/>
      <c r="O179" s="398"/>
      <c r="P179" s="12"/>
      <c r="Q179" s="398"/>
      <c r="R179" s="398"/>
      <c r="S179" s="12"/>
      <c r="T179" s="360"/>
      <c r="U179" s="12"/>
      <c r="V179" s="12"/>
      <c r="W179" s="398"/>
      <c r="X179" s="398"/>
      <c r="Y179" s="398"/>
      <c r="Z179" s="398"/>
      <c r="AA179" s="398"/>
      <c r="AB179" s="398"/>
      <c r="AC179" s="398"/>
      <c r="AD179" s="398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67"/>
      <c r="AU179" s="367"/>
      <c r="AV179" s="367"/>
    </row>
    <row r="180" spans="1:48" ht="21.95" customHeight="1" x14ac:dyDescent="0.25">
      <c r="A180" s="167">
        <v>183</v>
      </c>
      <c r="B180" s="403">
        <v>437</v>
      </c>
      <c r="C180" s="30" t="s">
        <v>1532</v>
      </c>
      <c r="D180" s="30"/>
      <c r="E180" s="30"/>
      <c r="F180" s="30"/>
      <c r="G180" s="30"/>
      <c r="H180" s="29" t="s">
        <v>1533</v>
      </c>
      <c r="I180" s="398" t="s">
        <v>1278</v>
      </c>
      <c r="J180" s="62" t="s">
        <v>1071</v>
      </c>
      <c r="K180" s="12">
        <v>7373</v>
      </c>
      <c r="L180" s="398" t="s">
        <v>1364</v>
      </c>
      <c r="M180" s="398">
        <v>5</v>
      </c>
      <c r="N180" s="398"/>
      <c r="O180" s="398"/>
      <c r="P180" s="12"/>
      <c r="Q180" s="398"/>
      <c r="R180" s="398"/>
      <c r="S180" s="12"/>
      <c r="T180" s="360"/>
      <c r="U180" s="12"/>
      <c r="V180" s="12"/>
      <c r="W180" s="398"/>
      <c r="X180" s="398"/>
      <c r="Y180" s="398"/>
      <c r="Z180" s="398"/>
      <c r="AA180" s="398"/>
      <c r="AB180" s="398"/>
      <c r="AC180" s="398"/>
      <c r="AD180" s="398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67"/>
      <c r="AU180" s="367"/>
      <c r="AV180" s="367"/>
    </row>
    <row r="181" spans="1:48" ht="21.95" customHeight="1" x14ac:dyDescent="0.25">
      <c r="A181" s="167">
        <v>184</v>
      </c>
      <c r="B181" s="452">
        <v>438</v>
      </c>
      <c r="C181" s="167" t="s">
        <v>1534</v>
      </c>
      <c r="D181" s="502" t="s">
        <v>1084</v>
      </c>
      <c r="E181" s="167" t="s">
        <v>346</v>
      </c>
      <c r="F181" s="167"/>
      <c r="G181" s="167"/>
      <c r="H181" s="49" t="s">
        <v>1535</v>
      </c>
      <c r="I181" s="450" t="s">
        <v>1543</v>
      </c>
      <c r="J181" s="449" t="s">
        <v>1544</v>
      </c>
      <c r="K181" s="451">
        <v>28041</v>
      </c>
      <c r="L181" s="450" t="s">
        <v>1545</v>
      </c>
      <c r="M181" s="450">
        <v>11</v>
      </c>
      <c r="N181" s="450"/>
      <c r="O181" s="450"/>
      <c r="P181" s="451"/>
      <c r="Q181" s="450"/>
      <c r="R181" s="450"/>
      <c r="S181" s="451"/>
      <c r="T181" s="365"/>
      <c r="U181" s="451"/>
      <c r="V181" s="451"/>
      <c r="W181" s="450"/>
      <c r="X181" s="450"/>
      <c r="Y181" s="450"/>
      <c r="Z181" s="450"/>
      <c r="AA181" s="450"/>
      <c r="AB181" s="450"/>
      <c r="AC181" s="450"/>
      <c r="AD181" s="450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7"/>
      <c r="AU181" s="167"/>
      <c r="AV181" s="167"/>
    </row>
    <row r="182" spans="1:48" ht="21.95" customHeight="1" x14ac:dyDescent="0.25">
      <c r="A182" s="167">
        <v>185</v>
      </c>
      <c r="B182" s="403">
        <v>439</v>
      </c>
      <c r="C182" s="30" t="s">
        <v>1536</v>
      </c>
      <c r="D182" s="30"/>
      <c r="E182" s="30"/>
      <c r="F182" s="30"/>
      <c r="G182" s="30"/>
      <c r="H182" s="29" t="s">
        <v>1537</v>
      </c>
      <c r="I182" s="440" t="s">
        <v>1542</v>
      </c>
      <c r="J182" s="62" t="s">
        <v>1541</v>
      </c>
      <c r="K182" s="12">
        <v>45280</v>
      </c>
      <c r="L182" s="398" t="s">
        <v>834</v>
      </c>
      <c r="M182" s="398">
        <v>10</v>
      </c>
      <c r="N182" s="398"/>
      <c r="O182" s="398"/>
      <c r="P182" s="12"/>
      <c r="Q182" s="398"/>
      <c r="R182" s="398"/>
      <c r="S182" s="12"/>
      <c r="T182" s="360"/>
      <c r="U182" s="12"/>
      <c r="V182" s="12"/>
      <c r="W182" s="398"/>
      <c r="X182" s="398"/>
      <c r="Y182" s="398"/>
      <c r="Z182" s="398"/>
      <c r="AA182" s="398"/>
      <c r="AB182" s="398"/>
      <c r="AC182" s="398"/>
      <c r="AD182" s="398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67"/>
      <c r="AU182" s="367"/>
      <c r="AV182" s="367"/>
    </row>
    <row r="183" spans="1:48" ht="21.95" customHeight="1" x14ac:dyDescent="0.25">
      <c r="A183" s="448">
        <v>186</v>
      </c>
      <c r="B183" s="403">
        <v>440</v>
      </c>
      <c r="C183" s="447" t="s">
        <v>1538</v>
      </c>
      <c r="D183" s="505"/>
      <c r="E183" s="447"/>
      <c r="F183" s="447"/>
      <c r="G183" s="447"/>
      <c r="H183" s="266" t="s">
        <v>1546</v>
      </c>
      <c r="I183" s="446">
        <v>5310414</v>
      </c>
      <c r="J183" s="70" t="s">
        <v>1547</v>
      </c>
      <c r="K183" s="71">
        <v>13835</v>
      </c>
      <c r="L183" s="446" t="s">
        <v>1548</v>
      </c>
      <c r="M183" s="446">
        <v>8</v>
      </c>
      <c r="N183" s="446"/>
      <c r="O183" s="446"/>
      <c r="P183" s="71"/>
      <c r="Q183" s="398"/>
      <c r="R183" s="398"/>
      <c r="S183" s="12"/>
      <c r="T183" s="360"/>
      <c r="U183" s="12"/>
      <c r="V183" s="12"/>
      <c r="W183" s="398"/>
      <c r="X183" s="398"/>
      <c r="Y183" s="398"/>
      <c r="Z183" s="398"/>
      <c r="AA183" s="398"/>
      <c r="AB183" s="398"/>
      <c r="AC183" s="398"/>
      <c r="AD183" s="398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67"/>
      <c r="AU183" s="367"/>
      <c r="AV183" s="367"/>
    </row>
    <row r="184" spans="1:48" ht="21.95" customHeight="1" x14ac:dyDescent="0.25">
      <c r="A184" s="167">
        <v>187</v>
      </c>
      <c r="B184" s="30">
        <v>441</v>
      </c>
      <c r="C184" s="30" t="s">
        <v>1539</v>
      </c>
      <c r="D184" s="30"/>
      <c r="E184" s="30"/>
      <c r="F184" s="30"/>
      <c r="G184" s="30"/>
      <c r="H184" s="29" t="s">
        <v>1540</v>
      </c>
      <c r="I184" s="440">
        <v>1010608</v>
      </c>
      <c r="J184" s="62" t="s">
        <v>1066</v>
      </c>
      <c r="K184" s="12">
        <v>37108</v>
      </c>
      <c r="L184" s="440"/>
      <c r="M184" s="440"/>
      <c r="N184" s="440"/>
      <c r="O184" s="440"/>
      <c r="P184" s="12"/>
      <c r="Q184" s="472"/>
      <c r="R184" s="472"/>
      <c r="S184" s="374"/>
      <c r="T184" s="454"/>
      <c r="U184" s="473"/>
      <c r="V184" s="473"/>
      <c r="W184" s="472"/>
      <c r="X184" s="472"/>
      <c r="Y184" s="472"/>
      <c r="Z184" s="472"/>
      <c r="AA184" s="472"/>
      <c r="AB184" s="472"/>
      <c r="AC184" s="472"/>
      <c r="AD184" s="472"/>
      <c r="AE184" s="471"/>
      <c r="AF184" s="471"/>
      <c r="AG184" s="471"/>
      <c r="AH184" s="471"/>
      <c r="AI184" s="471"/>
      <c r="AJ184" s="471"/>
      <c r="AK184" s="471"/>
      <c r="AL184" s="471"/>
      <c r="AM184" s="471"/>
      <c r="AN184" s="471"/>
      <c r="AO184" s="471"/>
      <c r="AP184" s="471"/>
      <c r="AQ184" s="471"/>
      <c r="AR184" s="471"/>
      <c r="AS184" s="471"/>
      <c r="AT184" s="47"/>
      <c r="AU184" s="47"/>
      <c r="AV184" s="47"/>
    </row>
    <row r="185" spans="1:48" ht="21.95" customHeight="1" x14ac:dyDescent="0.25">
      <c r="A185" s="167"/>
      <c r="B185" s="30"/>
      <c r="C185" s="30"/>
      <c r="D185" s="30"/>
      <c r="E185" s="30"/>
      <c r="F185" s="30"/>
      <c r="G185" s="30"/>
      <c r="H185" s="29"/>
      <c r="I185" s="440"/>
      <c r="J185" s="62"/>
      <c r="K185" s="12"/>
      <c r="L185" s="440"/>
      <c r="M185" s="440"/>
      <c r="N185" s="440"/>
      <c r="O185" s="440"/>
      <c r="P185" s="12"/>
      <c r="Q185" s="472"/>
      <c r="R185" s="472"/>
      <c r="S185" s="374"/>
      <c r="T185" s="454"/>
      <c r="U185" s="473"/>
      <c r="V185" s="473"/>
      <c r="W185" s="472"/>
      <c r="X185" s="472"/>
      <c r="Y185" s="472"/>
      <c r="Z185" s="472"/>
      <c r="AA185" s="472"/>
      <c r="AB185" s="472"/>
      <c r="AC185" s="472"/>
      <c r="AD185" s="472"/>
      <c r="AE185" s="471"/>
      <c r="AF185" s="471"/>
      <c r="AG185" s="471"/>
      <c r="AH185" s="471"/>
      <c r="AI185" s="471"/>
      <c r="AJ185" s="471"/>
      <c r="AK185" s="471"/>
      <c r="AL185" s="471"/>
      <c r="AM185" s="471"/>
      <c r="AN185" s="471"/>
      <c r="AO185" s="471"/>
      <c r="AP185" s="471"/>
      <c r="AQ185" s="471"/>
      <c r="AR185" s="471"/>
      <c r="AS185" s="471"/>
      <c r="AT185" s="47"/>
      <c r="AU185" s="47"/>
      <c r="AV185" s="47"/>
    </row>
    <row r="186" spans="1:48" ht="21.95" customHeight="1" x14ac:dyDescent="0.25">
      <c r="A186" s="167"/>
      <c r="B186" s="30"/>
      <c r="C186" s="30"/>
      <c r="D186" s="30"/>
      <c r="E186" s="30"/>
      <c r="F186" s="30"/>
      <c r="G186" s="30"/>
      <c r="H186" s="29"/>
      <c r="I186" s="440"/>
      <c r="J186" s="62"/>
      <c r="K186" s="12"/>
      <c r="L186" s="440"/>
      <c r="M186" s="440"/>
      <c r="N186" s="440"/>
      <c r="O186" s="440"/>
      <c r="P186" s="12"/>
      <c r="Q186" s="472"/>
      <c r="R186" s="472"/>
      <c r="S186" s="374"/>
      <c r="T186" s="454"/>
      <c r="U186" s="473"/>
      <c r="V186" s="473"/>
      <c r="W186" s="472"/>
      <c r="X186" s="472"/>
      <c r="Y186" s="472"/>
      <c r="Z186" s="472"/>
      <c r="AA186" s="472"/>
      <c r="AB186" s="472"/>
      <c r="AC186" s="472"/>
      <c r="AD186" s="472"/>
      <c r="AE186" s="471"/>
      <c r="AF186" s="471"/>
      <c r="AG186" s="471"/>
      <c r="AH186" s="471"/>
      <c r="AI186" s="471"/>
      <c r="AJ186" s="471"/>
      <c r="AK186" s="471"/>
      <c r="AL186" s="471"/>
      <c r="AM186" s="471"/>
      <c r="AN186" s="471"/>
      <c r="AO186" s="471"/>
      <c r="AP186" s="471"/>
      <c r="AQ186" s="471"/>
      <c r="AR186" s="471"/>
      <c r="AS186" s="471"/>
      <c r="AT186" s="47"/>
      <c r="AU186" s="47"/>
      <c r="AV186" s="47"/>
    </row>
    <row r="187" spans="1:48" ht="21.95" customHeight="1" x14ac:dyDescent="0.25">
      <c r="A187" s="167"/>
      <c r="B187" s="30"/>
      <c r="C187" s="30"/>
      <c r="D187" s="30"/>
      <c r="E187" s="30"/>
      <c r="F187" s="30"/>
      <c r="G187" s="30"/>
      <c r="H187" s="29"/>
      <c r="I187" s="440"/>
      <c r="J187" s="62"/>
      <c r="K187" s="12"/>
      <c r="L187" s="440"/>
      <c r="M187" s="440"/>
      <c r="N187" s="440"/>
      <c r="O187" s="440"/>
      <c r="P187" s="12"/>
      <c r="Q187" s="472"/>
      <c r="R187" s="472"/>
      <c r="S187" s="374"/>
      <c r="T187" s="454"/>
      <c r="U187" s="473"/>
      <c r="V187" s="473"/>
      <c r="W187" s="472"/>
      <c r="X187" s="472"/>
      <c r="Y187" s="472"/>
      <c r="Z187" s="472"/>
      <c r="AA187" s="472"/>
      <c r="AB187" s="472"/>
      <c r="AC187" s="472"/>
      <c r="AD187" s="472"/>
      <c r="AE187" s="471"/>
      <c r="AF187" s="471"/>
      <c r="AG187" s="471"/>
      <c r="AH187" s="471"/>
      <c r="AI187" s="471"/>
      <c r="AJ187" s="471"/>
      <c r="AK187" s="471"/>
      <c r="AL187" s="471"/>
      <c r="AM187" s="471"/>
      <c r="AN187" s="471"/>
      <c r="AO187" s="471"/>
      <c r="AP187" s="471"/>
      <c r="AQ187" s="471"/>
      <c r="AR187" s="471"/>
      <c r="AS187" s="471"/>
      <c r="AT187" s="47"/>
      <c r="AU187" s="47"/>
      <c r="AV187" s="47"/>
    </row>
    <row r="188" spans="1:48" ht="21.95" customHeight="1" x14ac:dyDescent="0.25">
      <c r="A188" s="167"/>
      <c r="B188" s="30"/>
      <c r="C188" s="30"/>
      <c r="D188" s="30"/>
      <c r="E188" s="30"/>
      <c r="F188" s="30"/>
      <c r="G188" s="30"/>
      <c r="H188" s="29"/>
      <c r="I188" s="440"/>
      <c r="J188" s="62"/>
      <c r="K188" s="12"/>
      <c r="L188" s="440"/>
      <c r="M188" s="440"/>
      <c r="N188" s="440"/>
      <c r="O188" s="440"/>
      <c r="P188" s="12"/>
      <c r="Q188" s="472"/>
      <c r="R188" s="472"/>
      <c r="S188" s="374"/>
      <c r="T188" s="454"/>
      <c r="U188" s="473"/>
      <c r="V188" s="473"/>
      <c r="W188" s="472"/>
      <c r="X188" s="472"/>
      <c r="Y188" s="472"/>
      <c r="Z188" s="472"/>
      <c r="AA188" s="472"/>
      <c r="AB188" s="472"/>
      <c r="AC188" s="472"/>
      <c r="AD188" s="472"/>
      <c r="AE188" s="471"/>
      <c r="AF188" s="471"/>
      <c r="AG188" s="471"/>
      <c r="AH188" s="471"/>
      <c r="AI188" s="471"/>
      <c r="AJ188" s="471"/>
      <c r="AK188" s="471"/>
      <c r="AL188" s="471"/>
      <c r="AM188" s="471"/>
      <c r="AN188" s="471"/>
      <c r="AO188" s="471"/>
      <c r="AP188" s="471"/>
      <c r="AQ188" s="471"/>
      <c r="AR188" s="471"/>
      <c r="AS188" s="471"/>
      <c r="AT188" s="47"/>
      <c r="AU188" s="47"/>
      <c r="AV188" s="47"/>
    </row>
    <row r="189" spans="1:48" ht="21.95" customHeight="1" x14ac:dyDescent="0.25">
      <c r="A189" s="167"/>
      <c r="B189" s="30"/>
      <c r="C189" s="30"/>
      <c r="D189" s="30"/>
      <c r="E189" s="30"/>
      <c r="F189" s="30"/>
      <c r="G189" s="30"/>
      <c r="H189" s="29"/>
      <c r="I189" s="440"/>
      <c r="J189" s="62"/>
      <c r="K189" s="12"/>
      <c r="L189" s="440"/>
      <c r="M189" s="440"/>
      <c r="N189" s="440"/>
      <c r="O189" s="440"/>
      <c r="P189" s="12"/>
      <c r="Q189" s="472"/>
      <c r="R189" s="472"/>
      <c r="S189" s="374"/>
      <c r="T189" s="454"/>
      <c r="U189" s="473"/>
      <c r="V189" s="473"/>
      <c r="W189" s="472"/>
      <c r="X189" s="472"/>
      <c r="Y189" s="472"/>
      <c r="Z189" s="472"/>
      <c r="AA189" s="472"/>
      <c r="AB189" s="472"/>
      <c r="AC189" s="472"/>
      <c r="AD189" s="472"/>
      <c r="AE189" s="471"/>
      <c r="AF189" s="471"/>
      <c r="AG189" s="471"/>
      <c r="AH189" s="471"/>
      <c r="AI189" s="471"/>
      <c r="AJ189" s="471"/>
      <c r="AK189" s="471"/>
      <c r="AL189" s="471"/>
      <c r="AM189" s="471"/>
      <c r="AN189" s="471"/>
      <c r="AO189" s="471"/>
      <c r="AP189" s="471"/>
      <c r="AQ189" s="471"/>
      <c r="AR189" s="471"/>
      <c r="AS189" s="471"/>
      <c r="AT189" s="47"/>
      <c r="AU189" s="47"/>
      <c r="AV189" s="47"/>
    </row>
    <row r="190" spans="1:48" ht="21.95" customHeight="1" x14ac:dyDescent="0.25">
      <c r="A190" s="167"/>
      <c r="B190" s="30"/>
      <c r="C190" s="30"/>
      <c r="D190" s="30"/>
      <c r="E190" s="30"/>
      <c r="F190" s="30"/>
      <c r="G190" s="30"/>
      <c r="H190" s="29"/>
      <c r="I190" s="440"/>
      <c r="J190" s="62"/>
      <c r="K190" s="12"/>
      <c r="L190" s="440"/>
      <c r="M190" s="440"/>
      <c r="N190" s="440"/>
      <c r="O190" s="440"/>
      <c r="P190" s="12"/>
      <c r="Q190" s="472"/>
      <c r="R190" s="472"/>
      <c r="S190" s="374"/>
      <c r="T190" s="454"/>
      <c r="U190" s="473"/>
      <c r="V190" s="473"/>
      <c r="W190" s="472"/>
      <c r="X190" s="472"/>
      <c r="Y190" s="472"/>
      <c r="Z190" s="472"/>
      <c r="AA190" s="472"/>
      <c r="AB190" s="472"/>
      <c r="AC190" s="472"/>
      <c r="AD190" s="472"/>
      <c r="AE190" s="471"/>
      <c r="AF190" s="471"/>
      <c r="AG190" s="471"/>
      <c r="AH190" s="471"/>
      <c r="AI190" s="471"/>
      <c r="AJ190" s="471"/>
      <c r="AK190" s="471"/>
      <c r="AL190" s="471"/>
      <c r="AM190" s="471"/>
      <c r="AN190" s="471"/>
      <c r="AO190" s="471"/>
      <c r="AP190" s="471"/>
      <c r="AQ190" s="471"/>
      <c r="AR190" s="471"/>
      <c r="AS190" s="471"/>
      <c r="AT190" s="47"/>
      <c r="AU190" s="47"/>
      <c r="AV190" s="47"/>
    </row>
    <row r="191" spans="1:48" ht="21.95" customHeight="1" x14ac:dyDescent="0.25">
      <c r="A191" s="167"/>
      <c r="B191" s="30"/>
      <c r="C191" s="30"/>
      <c r="D191" s="30"/>
      <c r="E191" s="30"/>
      <c r="F191" s="30"/>
      <c r="G191" s="30"/>
      <c r="H191" s="29"/>
      <c r="I191" s="440"/>
      <c r="J191" s="62"/>
      <c r="K191" s="12"/>
      <c r="L191" s="440"/>
      <c r="M191" s="440"/>
      <c r="N191" s="440"/>
      <c r="O191" s="440"/>
      <c r="P191" s="12"/>
      <c r="Q191" s="472"/>
      <c r="R191" s="472"/>
      <c r="S191" s="374"/>
      <c r="T191" s="454"/>
      <c r="U191" s="473"/>
      <c r="V191" s="473"/>
      <c r="W191" s="472"/>
      <c r="X191" s="472"/>
      <c r="Y191" s="472"/>
      <c r="Z191" s="472"/>
      <c r="AA191" s="472"/>
      <c r="AB191" s="472"/>
      <c r="AC191" s="472"/>
      <c r="AD191" s="472"/>
      <c r="AE191" s="471"/>
      <c r="AF191" s="471"/>
      <c r="AG191" s="471"/>
      <c r="AH191" s="471"/>
      <c r="AI191" s="471"/>
      <c r="AJ191" s="471"/>
      <c r="AK191" s="471"/>
      <c r="AL191" s="471"/>
      <c r="AM191" s="471"/>
      <c r="AN191" s="471"/>
      <c r="AO191" s="471"/>
      <c r="AP191" s="471"/>
      <c r="AQ191" s="471"/>
      <c r="AR191" s="471"/>
      <c r="AS191" s="471"/>
      <c r="AT191" s="47"/>
      <c r="AU191" s="47"/>
      <c r="AV191" s="47"/>
    </row>
    <row r="192" spans="1:48" ht="21.95" customHeight="1" x14ac:dyDescent="0.25">
      <c r="A192" s="89"/>
      <c r="B192" s="90"/>
      <c r="C192" s="90"/>
      <c r="D192" s="90"/>
      <c r="E192" s="90"/>
      <c r="F192" s="120" t="s">
        <v>465</v>
      </c>
      <c r="G192" s="120">
        <f>SUM(G5:G163)</f>
        <v>67</v>
      </c>
      <c r="H192" s="91"/>
      <c r="I192" s="90"/>
      <c r="J192" s="92" t="s">
        <v>326</v>
      </c>
      <c r="K192" s="93">
        <f>SUM(K5:K191)</f>
        <v>4014596.96</v>
      </c>
      <c r="L192" s="94"/>
      <c r="M192" s="94"/>
      <c r="N192" s="94"/>
      <c r="O192" s="94"/>
      <c r="P192" s="93">
        <f>SUM(P5:P183)</f>
        <v>736761.03000000014</v>
      </c>
      <c r="Q192" s="94"/>
      <c r="R192" s="94"/>
      <c r="S192" s="93">
        <f>SUM(S5:S191)</f>
        <v>2843752.96</v>
      </c>
      <c r="T192" s="132">
        <f>SUM(T5:T191)</f>
        <v>3579286.9899999998</v>
      </c>
      <c r="U192" s="132"/>
      <c r="V192" s="132"/>
      <c r="W192" s="90"/>
      <c r="X192" s="90"/>
      <c r="Y192" s="90"/>
      <c r="Z192" s="90"/>
      <c r="AA192" s="90"/>
      <c r="AB192" s="90"/>
      <c r="AC192" s="90"/>
      <c r="AD192" s="90"/>
      <c r="AT192" s="61">
        <f>SUM(AT5:AT183)</f>
        <v>71</v>
      </c>
    </row>
    <row r="193" spans="1:31" ht="21.95" customHeight="1" thickBot="1" x14ac:dyDescent="0.3"/>
    <row r="194" spans="1:31" ht="21.95" customHeight="1" thickBot="1" x14ac:dyDescent="0.3">
      <c r="A194" s="3"/>
      <c r="H194" s="44" t="s">
        <v>296</v>
      </c>
      <c r="I194" s="22" t="s">
        <v>341</v>
      </c>
      <c r="J194" s="37" t="s">
        <v>340</v>
      </c>
      <c r="L194" s="26" t="s">
        <v>358</v>
      </c>
      <c r="N194" s="36" t="s">
        <v>474</v>
      </c>
      <c r="S194" s="95"/>
      <c r="T194" s="95"/>
      <c r="U194" s="95"/>
      <c r="V194" s="95"/>
      <c r="W194" s="95"/>
    </row>
    <row r="195" spans="1:31" x14ac:dyDescent="0.25">
      <c r="A195" s="3"/>
      <c r="B195" s="23"/>
    </row>
    <row r="196" spans="1:31" s="66" customFormat="1" x14ac:dyDescent="0.25">
      <c r="H196" s="96"/>
      <c r="I196" s="158" t="s">
        <v>613</v>
      </c>
      <c r="J196" s="158"/>
      <c r="K196" s="3"/>
      <c r="L196" s="3"/>
      <c r="M196" s="3"/>
      <c r="N196" s="3"/>
      <c r="O196" s="3"/>
      <c r="P196" s="3"/>
      <c r="Q196" s="97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25">
      <c r="A197" s="3"/>
    </row>
    <row r="198" spans="1:31" x14ac:dyDescent="0.25">
      <c r="A198" s="3"/>
      <c r="J198" s="516" t="s">
        <v>719</v>
      </c>
      <c r="K198" s="516"/>
      <c r="L198" s="516"/>
      <c r="Q198" s="97"/>
    </row>
    <row r="199" spans="1:31" x14ac:dyDescent="0.25">
      <c r="A199" s="3"/>
      <c r="Q199" s="97"/>
    </row>
    <row r="200" spans="1:31" x14ac:dyDescent="0.25">
      <c r="A200" s="3"/>
      <c r="G200" s="513" t="s">
        <v>0</v>
      </c>
      <c r="H200" s="515" t="s">
        <v>759</v>
      </c>
      <c r="I200" s="515"/>
      <c r="J200" s="515"/>
      <c r="Q200" s="97"/>
    </row>
    <row r="201" spans="1:31" x14ac:dyDescent="0.25">
      <c r="A201" s="3"/>
      <c r="G201" s="514"/>
      <c r="H201" s="284" t="s">
        <v>1193</v>
      </c>
      <c r="I201" s="98" t="s">
        <v>1194</v>
      </c>
      <c r="J201" s="98" t="s">
        <v>1195</v>
      </c>
      <c r="Q201" s="97"/>
    </row>
    <row r="202" spans="1:31" x14ac:dyDescent="0.25">
      <c r="A202" s="3"/>
      <c r="G202" s="49">
        <v>1</v>
      </c>
      <c r="H202" s="73" t="s">
        <v>1558</v>
      </c>
      <c r="I202" s="84"/>
      <c r="J202" s="267"/>
    </row>
    <row r="203" spans="1:31" x14ac:dyDescent="0.25">
      <c r="A203" s="3"/>
      <c r="C203" s="522" t="s">
        <v>764</v>
      </c>
      <c r="D203" s="522"/>
      <c r="E203" s="522"/>
      <c r="F203" s="121"/>
      <c r="G203" s="49">
        <v>2</v>
      </c>
      <c r="H203" s="73" t="s">
        <v>1488</v>
      </c>
      <c r="I203" s="84"/>
      <c r="J203" s="267"/>
      <c r="S203" s="97"/>
      <c r="T203" s="97"/>
      <c r="U203" s="97"/>
      <c r="V203" s="97"/>
    </row>
    <row r="204" spans="1:31" x14ac:dyDescent="0.25">
      <c r="A204" s="3"/>
      <c r="C204" s="523" t="s">
        <v>765</v>
      </c>
      <c r="D204" s="523"/>
      <c r="E204" s="523"/>
      <c r="F204" s="67"/>
      <c r="G204" s="49">
        <v>3</v>
      </c>
      <c r="H204" s="73" t="s">
        <v>1559</v>
      </c>
      <c r="I204" s="84"/>
      <c r="J204" s="267"/>
    </row>
    <row r="205" spans="1:31" x14ac:dyDescent="0.25">
      <c r="A205" s="3"/>
      <c r="C205" s="524" t="s">
        <v>766</v>
      </c>
      <c r="D205" s="524"/>
      <c r="E205" s="524"/>
      <c r="F205" s="78"/>
      <c r="G205" s="49">
        <v>4</v>
      </c>
      <c r="H205" s="282" t="s">
        <v>1489</v>
      </c>
      <c r="I205" s="84">
        <v>46191</v>
      </c>
      <c r="J205" s="267"/>
    </row>
    <row r="206" spans="1:31" x14ac:dyDescent="0.25">
      <c r="A206" s="3"/>
      <c r="C206" s="525" t="s">
        <v>767</v>
      </c>
      <c r="D206" s="525"/>
      <c r="E206" s="525"/>
      <c r="F206" s="115"/>
      <c r="G206" s="49">
        <v>5</v>
      </c>
      <c r="H206" s="73"/>
      <c r="I206" s="283"/>
      <c r="J206" s="267"/>
    </row>
    <row r="207" spans="1:31" x14ac:dyDescent="0.25">
      <c r="A207" s="3"/>
      <c r="C207" s="526" t="s">
        <v>768</v>
      </c>
      <c r="D207" s="526"/>
      <c r="E207" s="526"/>
      <c r="F207" s="116"/>
      <c r="G207" s="49">
        <v>6</v>
      </c>
      <c r="H207" s="288"/>
      <c r="I207" s="283"/>
      <c r="J207" s="267"/>
    </row>
    <row r="208" spans="1:31" x14ac:dyDescent="0.25">
      <c r="A208" s="3"/>
      <c r="C208" s="521" t="s">
        <v>769</v>
      </c>
      <c r="D208" s="521"/>
      <c r="E208" s="521"/>
      <c r="F208" s="121"/>
      <c r="G208" s="76">
        <v>7</v>
      </c>
      <c r="AC208" s="99"/>
      <c r="AD208" s="99"/>
    </row>
    <row r="209" spans="1:28" x14ac:dyDescent="0.25">
      <c r="A209" s="3"/>
      <c r="C209" s="520"/>
      <c r="D209" s="520"/>
      <c r="E209" s="520"/>
      <c r="F209" s="121"/>
    </row>
    <row r="210" spans="1:28" x14ac:dyDescent="0.25">
      <c r="A210" s="3"/>
      <c r="C210" s="510" t="s">
        <v>773</v>
      </c>
      <c r="D210" s="511"/>
      <c r="E210" s="512"/>
      <c r="F210" s="114"/>
    </row>
    <row r="211" spans="1:28" x14ac:dyDescent="0.25">
      <c r="A211" s="3"/>
      <c r="X211" s="99"/>
      <c r="Y211" s="99"/>
      <c r="Z211" s="99"/>
      <c r="AA211" s="99"/>
      <c r="AB211" s="99"/>
    </row>
    <row r="212" spans="1:28" x14ac:dyDescent="0.25">
      <c r="A212" s="3"/>
      <c r="I212" s="100"/>
      <c r="J212" s="100"/>
    </row>
    <row r="213" spans="1:28" x14ac:dyDescent="0.25">
      <c r="A213" s="3"/>
    </row>
    <row r="214" spans="1:28" x14ac:dyDescent="0.25">
      <c r="A214" s="3"/>
      <c r="I214" s="100"/>
      <c r="J214" s="100"/>
    </row>
    <row r="215" spans="1:28" x14ac:dyDescent="0.25">
      <c r="A215" s="3"/>
      <c r="I215" s="100"/>
      <c r="J215" s="100"/>
    </row>
    <row r="216" spans="1:28" x14ac:dyDescent="0.25">
      <c r="A216" s="3"/>
      <c r="I216" s="97"/>
      <c r="J216" s="97"/>
    </row>
    <row r="217" spans="1:28" x14ac:dyDescent="0.25">
      <c r="A217" s="3"/>
      <c r="J217" s="3">
        <f>71-9</f>
        <v>62</v>
      </c>
    </row>
    <row r="218" spans="1:28" x14ac:dyDescent="0.25">
      <c r="A218" s="3"/>
    </row>
    <row r="219" spans="1:28" x14ac:dyDescent="0.25">
      <c r="A219" s="3"/>
      <c r="J219" s="97"/>
    </row>
    <row r="220" spans="1:28" x14ac:dyDescent="0.25">
      <c r="A220" s="3"/>
    </row>
    <row r="221" spans="1:28" x14ac:dyDescent="0.25">
      <c r="A221" s="3"/>
    </row>
    <row r="222" spans="1:28" x14ac:dyDescent="0.25">
      <c r="A222" s="3"/>
    </row>
    <row r="223" spans="1:28" x14ac:dyDescent="0.25">
      <c r="A223" s="3"/>
    </row>
    <row r="224" spans="1:28" x14ac:dyDescent="0.25">
      <c r="A224" s="3"/>
      <c r="J224" s="100"/>
    </row>
    <row r="225" spans="1:10" x14ac:dyDescent="0.25">
      <c r="A225" s="3"/>
      <c r="J225" s="100"/>
    </row>
    <row r="226" spans="1:10" x14ac:dyDescent="0.25">
      <c r="A226" s="3"/>
    </row>
    <row r="227" spans="1:10" x14ac:dyDescent="0.25">
      <c r="A227" s="3"/>
    </row>
    <row r="228" spans="1:10" x14ac:dyDescent="0.25">
      <c r="A228" s="3"/>
    </row>
    <row r="229" spans="1:10" x14ac:dyDescent="0.25">
      <c r="A229" s="3"/>
    </row>
    <row r="230" spans="1:10" x14ac:dyDescent="0.25">
      <c r="A230" s="3"/>
    </row>
    <row r="231" spans="1:10" x14ac:dyDescent="0.25">
      <c r="A231" s="3"/>
    </row>
    <row r="232" spans="1:10" x14ac:dyDescent="0.25">
      <c r="A232" s="3"/>
    </row>
    <row r="233" spans="1:10" x14ac:dyDescent="0.25">
      <c r="A233" s="3"/>
    </row>
    <row r="234" spans="1:10" x14ac:dyDescent="0.25">
      <c r="A234" s="3"/>
    </row>
    <row r="235" spans="1:10" x14ac:dyDescent="0.25">
      <c r="A235" s="3"/>
    </row>
    <row r="236" spans="1:10" x14ac:dyDescent="0.25">
      <c r="A236" s="3"/>
    </row>
    <row r="237" spans="1:10" x14ac:dyDescent="0.25">
      <c r="A237" s="3"/>
    </row>
    <row r="238" spans="1:10" x14ac:dyDescent="0.25">
      <c r="A238" s="3"/>
    </row>
    <row r="239" spans="1:10" x14ac:dyDescent="0.25">
      <c r="A239" s="3"/>
    </row>
    <row r="240" spans="1:10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</sheetData>
  <mergeCells count="50">
    <mergeCell ref="A1:AV1"/>
    <mergeCell ref="AS2:AV3"/>
    <mergeCell ref="AL3:AN3"/>
    <mergeCell ref="AL2:AR2"/>
    <mergeCell ref="U3:V3"/>
    <mergeCell ref="AA3:AC3"/>
    <mergeCell ref="AD3:AF3"/>
    <mergeCell ref="Z3:Z4"/>
    <mergeCell ref="W3:Y3"/>
    <mergeCell ref="U2:AF2"/>
    <mergeCell ref="Q2:S3"/>
    <mergeCell ref="N2:P3"/>
    <mergeCell ref="L2:M3"/>
    <mergeCell ref="H2:J3"/>
    <mergeCell ref="A2:A4"/>
    <mergeCell ref="B2:B4"/>
    <mergeCell ref="AU12:AU15"/>
    <mergeCell ref="I12:I15"/>
    <mergeCell ref="J12:J15"/>
    <mergeCell ref="A39:A40"/>
    <mergeCell ref="B39:B40"/>
    <mergeCell ref="C39:C40"/>
    <mergeCell ref="H12:H15"/>
    <mergeCell ref="A12:A15"/>
    <mergeCell ref="B12:B15"/>
    <mergeCell ref="AG12:AH15"/>
    <mergeCell ref="K12:K15"/>
    <mergeCell ref="P12:P13"/>
    <mergeCell ref="P14:P15"/>
    <mergeCell ref="S12:S13"/>
    <mergeCell ref="S14:S15"/>
    <mergeCell ref="AO3:AP3"/>
    <mergeCell ref="AI2:AK3"/>
    <mergeCell ref="E2:G3"/>
    <mergeCell ref="AQ3:AR3"/>
    <mergeCell ref="AG3:AH3"/>
    <mergeCell ref="K2:K4"/>
    <mergeCell ref="T2:T3"/>
    <mergeCell ref="C210:E210"/>
    <mergeCell ref="G200:G201"/>
    <mergeCell ref="H200:J200"/>
    <mergeCell ref="J198:L198"/>
    <mergeCell ref="C2:C4"/>
    <mergeCell ref="C209:E209"/>
    <mergeCell ref="C208:E208"/>
    <mergeCell ref="C203:E203"/>
    <mergeCell ref="C204:E204"/>
    <mergeCell ref="C205:E205"/>
    <mergeCell ref="C206:E206"/>
    <mergeCell ref="C207:E207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61" orientation="portrait" r:id="rId1"/>
  <rowBreaks count="7" manualBreakCount="7">
    <brk id="36" max="21" man="1"/>
    <brk id="79" max="21" man="1"/>
    <brk id="131" max="21" man="1"/>
    <brk id="194" max="21" man="1"/>
    <brk id="203" max="21" man="1"/>
    <brk id="206" max="21" man="1"/>
    <brk id="209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5"/>
  <sheetViews>
    <sheetView zoomScaleNormal="100" zoomScaleSheetLayoutView="82" workbookViewId="0">
      <pane ySplit="5" topLeftCell="A77" activePane="bottomLeft" state="frozen"/>
      <selection pane="bottomLeft" activeCell="H82" sqref="H82"/>
    </sheetView>
  </sheetViews>
  <sheetFormatPr defaultColWidth="9.140625" defaultRowHeight="15" x14ac:dyDescent="0.25"/>
  <cols>
    <col min="1" max="1" width="11.28515625" style="53" customWidth="1"/>
    <col min="2" max="2" width="7.7109375" style="53" customWidth="1"/>
    <col min="3" max="3" width="16.140625" style="53" customWidth="1"/>
    <col min="4" max="4" width="19.5703125" style="53" customWidth="1"/>
    <col min="5" max="5" width="26" style="8" customWidth="1"/>
    <col min="6" max="6" width="20.140625" style="53" customWidth="1"/>
    <col min="7" max="7" width="21.28515625" style="53" customWidth="1"/>
    <col min="8" max="8" width="17.7109375" style="53" customWidth="1"/>
    <col min="9" max="9" width="27.42578125" style="53" customWidth="1"/>
    <col min="10" max="10" width="9.42578125" style="53" customWidth="1"/>
    <col min="11" max="11" width="23.140625" style="53" customWidth="1"/>
    <col min="12" max="12" width="9" style="53" customWidth="1"/>
    <col min="13" max="13" width="10.42578125" style="53" customWidth="1"/>
    <col min="14" max="14" width="12.28515625" style="53" customWidth="1"/>
    <col min="15" max="17" width="14.7109375" style="3" customWidth="1"/>
    <col min="18" max="18" width="14.7109375" style="53" customWidth="1"/>
    <col min="19" max="19" width="30.7109375" style="53" customWidth="1"/>
    <col min="20" max="16384" width="9.140625" style="53"/>
  </cols>
  <sheetData>
    <row r="1" spans="1:20" s="61" customFormat="1" ht="35.25" hidden="1" customHeight="1" thickBot="1" x14ac:dyDescent="0.3">
      <c r="A1" s="563" t="s">
        <v>225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</row>
    <row r="2" spans="1:20" s="61" customFormat="1" ht="27.95" customHeight="1" x14ac:dyDescent="0.25">
      <c r="A2" s="573" t="s">
        <v>0</v>
      </c>
      <c r="B2" s="539" t="s">
        <v>3</v>
      </c>
      <c r="C2" s="517" t="s">
        <v>2</v>
      </c>
      <c r="D2" s="568" t="s">
        <v>928</v>
      </c>
      <c r="E2" s="517" t="s">
        <v>317</v>
      </c>
      <c r="F2" s="517"/>
      <c r="G2" s="517"/>
      <c r="H2" s="539" t="s">
        <v>269</v>
      </c>
      <c r="I2" s="539" t="s">
        <v>327</v>
      </c>
      <c r="J2" s="539"/>
      <c r="K2" s="539" t="s">
        <v>329</v>
      </c>
      <c r="L2" s="539"/>
      <c r="M2" s="539"/>
      <c r="N2" s="542" t="s">
        <v>1523</v>
      </c>
      <c r="O2" s="577" t="s">
        <v>937</v>
      </c>
      <c r="P2" s="578"/>
      <c r="Q2" s="579"/>
      <c r="R2" s="583"/>
    </row>
    <row r="3" spans="1:20" s="61" customFormat="1" ht="27.95" customHeight="1" x14ac:dyDescent="0.25">
      <c r="A3" s="574"/>
      <c r="B3" s="540"/>
      <c r="C3" s="518"/>
      <c r="D3" s="522"/>
      <c r="E3" s="518"/>
      <c r="F3" s="518"/>
      <c r="G3" s="518"/>
      <c r="H3" s="540"/>
      <c r="I3" s="540"/>
      <c r="J3" s="540"/>
      <c r="K3" s="540"/>
      <c r="L3" s="540"/>
      <c r="M3" s="540"/>
      <c r="N3" s="587"/>
      <c r="O3" s="580"/>
      <c r="P3" s="581"/>
      <c r="Q3" s="582"/>
      <c r="R3" s="584"/>
    </row>
    <row r="4" spans="1:20" s="61" customFormat="1" ht="60.75" thickBot="1" x14ac:dyDescent="0.3">
      <c r="A4" s="575"/>
      <c r="B4" s="541"/>
      <c r="C4" s="519"/>
      <c r="D4" s="107" t="s">
        <v>339</v>
      </c>
      <c r="E4" s="171" t="s">
        <v>1</v>
      </c>
      <c r="F4" s="107" t="s">
        <v>122</v>
      </c>
      <c r="G4" s="107" t="s">
        <v>121</v>
      </c>
      <c r="H4" s="541"/>
      <c r="I4" s="107" t="s">
        <v>328</v>
      </c>
      <c r="J4" s="171" t="s">
        <v>259</v>
      </c>
      <c r="K4" s="171" t="s">
        <v>289</v>
      </c>
      <c r="L4" s="171" t="s">
        <v>259</v>
      </c>
      <c r="M4" s="171" t="s">
        <v>260</v>
      </c>
      <c r="N4" s="588"/>
      <c r="O4" s="104" t="s">
        <v>938</v>
      </c>
      <c r="P4" s="438" t="s">
        <v>939</v>
      </c>
      <c r="Q4" s="106" t="s">
        <v>956</v>
      </c>
      <c r="R4" s="104" t="s">
        <v>570</v>
      </c>
    </row>
    <row r="5" spans="1:20" ht="31.5" x14ac:dyDescent="0.25">
      <c r="A5" s="14">
        <v>1</v>
      </c>
      <c r="B5" s="14">
        <v>63</v>
      </c>
      <c r="C5" s="14" t="s">
        <v>4</v>
      </c>
      <c r="D5" s="14" t="s">
        <v>346</v>
      </c>
      <c r="E5" s="15" t="s">
        <v>69</v>
      </c>
      <c r="F5" s="14" t="s">
        <v>123</v>
      </c>
      <c r="G5" s="14" t="s">
        <v>124</v>
      </c>
      <c r="H5" s="17">
        <v>28267</v>
      </c>
      <c r="I5" s="15" t="s">
        <v>268</v>
      </c>
      <c r="J5" s="14">
        <v>21</v>
      </c>
      <c r="K5" s="15" t="str">
        <f>I5</f>
        <v>P1 to P4, Up Pod, 1st to 15, R</v>
      </c>
      <c r="L5" s="14">
        <v>21</v>
      </c>
      <c r="M5" s="17">
        <f>H5</f>
        <v>28267</v>
      </c>
      <c r="N5" s="432"/>
      <c r="O5" s="445"/>
      <c r="P5" s="445"/>
      <c r="Q5" s="445"/>
      <c r="R5" s="445" t="s">
        <v>296</v>
      </c>
    </row>
    <row r="6" spans="1:20" ht="31.5" x14ac:dyDescent="0.25">
      <c r="A6" s="14">
        <v>2</v>
      </c>
      <c r="B6" s="14">
        <v>121</v>
      </c>
      <c r="C6" s="14" t="s">
        <v>5</v>
      </c>
      <c r="D6" s="14" t="s">
        <v>345</v>
      </c>
      <c r="E6" s="15" t="s">
        <v>318</v>
      </c>
      <c r="F6" s="14" t="s">
        <v>290</v>
      </c>
      <c r="G6" s="14" t="s">
        <v>125</v>
      </c>
      <c r="H6" s="18">
        <v>25440</v>
      </c>
      <c r="I6" s="14" t="s">
        <v>270</v>
      </c>
      <c r="J6" s="14">
        <v>28</v>
      </c>
      <c r="K6" s="14" t="s">
        <v>292</v>
      </c>
      <c r="L6" s="14">
        <v>27</v>
      </c>
      <c r="M6" s="17">
        <f>H6</f>
        <v>25440</v>
      </c>
      <c r="N6" s="17"/>
      <c r="O6" s="444"/>
      <c r="P6" s="444"/>
      <c r="Q6" s="444"/>
      <c r="R6" s="444" t="s">
        <v>296</v>
      </c>
    </row>
    <row r="7" spans="1:20" ht="15.75" x14ac:dyDescent="0.25">
      <c r="A7" s="14">
        <v>3</v>
      </c>
      <c r="B7" s="14">
        <v>127</v>
      </c>
      <c r="C7" s="14" t="s">
        <v>6</v>
      </c>
      <c r="D7" s="14" t="s">
        <v>718</v>
      </c>
      <c r="E7" s="15" t="s">
        <v>475</v>
      </c>
      <c r="F7" s="14" t="s">
        <v>126</v>
      </c>
      <c r="G7" s="14" t="s">
        <v>127</v>
      </c>
      <c r="H7" s="17">
        <v>33094</v>
      </c>
      <c r="I7" s="14" t="s">
        <v>476</v>
      </c>
      <c r="J7" s="14">
        <v>28</v>
      </c>
      <c r="K7" s="14" t="s">
        <v>476</v>
      </c>
      <c r="L7" s="14">
        <v>28</v>
      </c>
      <c r="M7" s="17">
        <v>33094</v>
      </c>
      <c r="N7" s="17"/>
      <c r="O7" s="444"/>
      <c r="P7" s="444"/>
      <c r="Q7" s="444"/>
      <c r="R7" s="444" t="s">
        <v>296</v>
      </c>
    </row>
    <row r="8" spans="1:20" s="1" customFormat="1" ht="31.5" x14ac:dyDescent="0.25">
      <c r="A8" s="14">
        <v>4</v>
      </c>
      <c r="B8" s="14">
        <v>134</v>
      </c>
      <c r="C8" s="14" t="s">
        <v>7</v>
      </c>
      <c r="D8" s="14" t="s">
        <v>345</v>
      </c>
      <c r="E8" s="15" t="s">
        <v>129</v>
      </c>
      <c r="F8" s="14">
        <v>3450395</v>
      </c>
      <c r="G8" s="14" t="s">
        <v>128</v>
      </c>
      <c r="H8" s="17">
        <v>71283</v>
      </c>
      <c r="I8" s="15" t="s">
        <v>271</v>
      </c>
      <c r="J8" s="14">
        <v>56</v>
      </c>
      <c r="K8" s="15" t="s">
        <v>720</v>
      </c>
      <c r="L8" s="14">
        <v>56</v>
      </c>
      <c r="M8" s="17">
        <v>71283</v>
      </c>
      <c r="N8" s="17"/>
      <c r="O8" s="444"/>
      <c r="P8" s="444"/>
      <c r="Q8" s="444"/>
      <c r="R8" s="444" t="s">
        <v>830</v>
      </c>
      <c r="S8" s="53"/>
      <c r="T8" s="53"/>
    </row>
    <row r="9" spans="1:20" s="1" customFormat="1" ht="31.5" customHeight="1" x14ac:dyDescent="0.25">
      <c r="A9" s="14">
        <v>5</v>
      </c>
      <c r="B9" s="14">
        <v>145</v>
      </c>
      <c r="C9" s="14" t="s">
        <v>130</v>
      </c>
      <c r="D9" s="14"/>
      <c r="E9" s="15" t="s">
        <v>70</v>
      </c>
      <c r="F9" s="15" t="s">
        <v>320</v>
      </c>
      <c r="G9" s="14" t="s">
        <v>131</v>
      </c>
      <c r="H9" s="17">
        <f>41163-3000</f>
        <v>38163</v>
      </c>
      <c r="I9" s="14" t="s">
        <v>272</v>
      </c>
      <c r="J9" s="14">
        <v>25</v>
      </c>
      <c r="K9" s="14" t="s">
        <v>293</v>
      </c>
      <c r="L9" s="14">
        <v>25</v>
      </c>
      <c r="M9" s="17">
        <v>38163</v>
      </c>
      <c r="N9" s="17"/>
      <c r="O9" s="444"/>
      <c r="P9" s="444"/>
      <c r="Q9" s="444"/>
      <c r="R9" s="444" t="s">
        <v>296</v>
      </c>
      <c r="S9" s="53"/>
      <c r="T9" s="53"/>
    </row>
    <row r="10" spans="1:20" s="3" customFormat="1" ht="30.95" customHeight="1" x14ac:dyDescent="0.25">
      <c r="A10" s="14">
        <v>6</v>
      </c>
      <c r="B10" s="14">
        <v>146</v>
      </c>
      <c r="C10" s="14" t="s">
        <v>8</v>
      </c>
      <c r="D10" s="14" t="s">
        <v>346</v>
      </c>
      <c r="E10" s="14">
        <v>5912278</v>
      </c>
      <c r="F10" s="14" t="s">
        <v>605</v>
      </c>
      <c r="G10" s="17">
        <v>17690</v>
      </c>
      <c r="H10" s="15" t="s">
        <v>273</v>
      </c>
      <c r="I10" s="15">
        <v>19</v>
      </c>
      <c r="J10" s="378" t="s">
        <v>1126</v>
      </c>
      <c r="K10" s="15">
        <v>19</v>
      </c>
      <c r="L10" s="379">
        <v>17690</v>
      </c>
      <c r="M10" s="378" t="s">
        <v>957</v>
      </c>
      <c r="N10" s="378"/>
      <c r="O10" s="56"/>
      <c r="P10" s="56"/>
      <c r="Q10" s="56"/>
      <c r="R10" s="444" t="s">
        <v>296</v>
      </c>
      <c r="S10" s="53"/>
      <c r="T10" s="53"/>
    </row>
    <row r="11" spans="1:20" s="3" customFormat="1" ht="30.95" customHeight="1" x14ac:dyDescent="0.25">
      <c r="A11" s="14"/>
      <c r="B11" s="14">
        <v>154</v>
      </c>
      <c r="C11" s="14" t="s">
        <v>10</v>
      </c>
      <c r="D11" s="14"/>
      <c r="E11" s="429" t="s">
        <v>548</v>
      </c>
      <c r="F11" s="14"/>
      <c r="G11" s="17"/>
      <c r="H11" s="15"/>
      <c r="I11" s="15"/>
      <c r="J11" s="378"/>
      <c r="K11" s="15"/>
      <c r="L11" s="379"/>
      <c r="M11" s="378"/>
      <c r="N11" s="378"/>
      <c r="O11" s="56"/>
      <c r="P11" s="56"/>
      <c r="Q11" s="56"/>
      <c r="R11" s="444"/>
      <c r="S11" s="53"/>
      <c r="T11" s="53"/>
    </row>
    <row r="12" spans="1:20" ht="31.5" x14ac:dyDescent="0.25">
      <c r="A12" s="14">
        <v>7</v>
      </c>
      <c r="B12" s="14">
        <v>155</v>
      </c>
      <c r="C12" s="14" t="s">
        <v>11</v>
      </c>
      <c r="D12" s="14" t="s">
        <v>718</v>
      </c>
      <c r="E12" s="15" t="s">
        <v>72</v>
      </c>
      <c r="F12" s="423" t="s">
        <v>136</v>
      </c>
      <c r="G12" s="14" t="s">
        <v>135</v>
      </c>
      <c r="H12" s="17">
        <f>1323+1533+1365+1559</f>
        <v>5780</v>
      </c>
      <c r="I12" s="14" t="s">
        <v>134</v>
      </c>
      <c r="J12" s="14"/>
      <c r="K12" s="14" t="s">
        <v>296</v>
      </c>
      <c r="L12" s="14"/>
      <c r="M12" s="17">
        <v>5780</v>
      </c>
      <c r="N12" s="17"/>
      <c r="O12" s="444"/>
      <c r="P12" s="444"/>
      <c r="Q12" s="444"/>
      <c r="R12" s="444" t="s">
        <v>296</v>
      </c>
    </row>
    <row r="13" spans="1:20" ht="31.5" x14ac:dyDescent="0.25">
      <c r="A13" s="14">
        <v>8</v>
      </c>
      <c r="B13" s="14">
        <v>158</v>
      </c>
      <c r="C13" s="14" t="s">
        <v>12</v>
      </c>
      <c r="D13" s="14" t="s">
        <v>346</v>
      </c>
      <c r="E13" s="15" t="s">
        <v>73</v>
      </c>
      <c r="F13" s="14" t="s">
        <v>138</v>
      </c>
      <c r="G13" s="14" t="s">
        <v>125</v>
      </c>
      <c r="H13" s="17">
        <f>3000+12605</f>
        <v>15605</v>
      </c>
      <c r="I13" s="14" t="s">
        <v>137</v>
      </c>
      <c r="J13" s="14">
        <v>8</v>
      </c>
      <c r="K13" s="14" t="s">
        <v>296</v>
      </c>
      <c r="L13" s="14">
        <v>8</v>
      </c>
      <c r="M13" s="17">
        <f>H13</f>
        <v>15605</v>
      </c>
      <c r="N13" s="17"/>
      <c r="O13" s="444"/>
      <c r="P13" s="444"/>
      <c r="Q13" s="444"/>
      <c r="R13" s="444" t="s">
        <v>296</v>
      </c>
    </row>
    <row r="14" spans="1:20" s="16" customFormat="1" ht="21.95" customHeight="1" x14ac:dyDescent="0.25">
      <c r="A14" s="14">
        <v>9</v>
      </c>
      <c r="B14" s="14">
        <v>159</v>
      </c>
      <c r="C14" s="14" t="s">
        <v>13</v>
      </c>
      <c r="D14" s="14" t="s">
        <v>347</v>
      </c>
      <c r="E14" s="15" t="s">
        <v>332</v>
      </c>
      <c r="F14" s="14" t="s">
        <v>466</v>
      </c>
      <c r="G14" s="14" t="s">
        <v>218</v>
      </c>
      <c r="H14" s="17">
        <v>23906</v>
      </c>
      <c r="I14" s="14" t="s">
        <v>483</v>
      </c>
      <c r="J14" s="14">
        <v>19</v>
      </c>
      <c r="K14" s="14" t="s">
        <v>483</v>
      </c>
      <c r="L14" s="14">
        <v>19</v>
      </c>
      <c r="M14" s="17">
        <v>23906</v>
      </c>
      <c r="N14" s="17"/>
      <c r="O14" s="444"/>
      <c r="P14" s="444"/>
      <c r="Q14" s="444"/>
      <c r="R14" s="444" t="s">
        <v>296</v>
      </c>
    </row>
    <row r="15" spans="1:20" ht="31.5" x14ac:dyDescent="0.25">
      <c r="A15" s="14">
        <v>10</v>
      </c>
      <c r="B15" s="14">
        <v>160</v>
      </c>
      <c r="C15" s="14" t="s">
        <v>14</v>
      </c>
      <c r="D15" s="14" t="s">
        <v>346</v>
      </c>
      <c r="E15" s="15" t="s">
        <v>74</v>
      </c>
      <c r="F15" s="14">
        <v>6316728</v>
      </c>
      <c r="G15" s="14" t="s">
        <v>139</v>
      </c>
      <c r="H15" s="17">
        <v>1310</v>
      </c>
      <c r="I15" s="52" t="s">
        <v>297</v>
      </c>
      <c r="J15" s="14">
        <v>4</v>
      </c>
      <c r="K15" s="14" t="s">
        <v>298</v>
      </c>
      <c r="L15" s="14">
        <v>3</v>
      </c>
      <c r="M15" s="17">
        <v>1261</v>
      </c>
      <c r="N15" s="17"/>
      <c r="O15" s="444"/>
      <c r="P15" s="444"/>
      <c r="Q15" s="444"/>
      <c r="R15" s="444" t="s">
        <v>296</v>
      </c>
    </row>
    <row r="16" spans="1:20" ht="31.5" x14ac:dyDescent="0.25">
      <c r="A16" s="14">
        <v>11</v>
      </c>
      <c r="B16" s="14">
        <v>164</v>
      </c>
      <c r="C16" s="14" t="s">
        <v>16</v>
      </c>
      <c r="D16" s="14" t="s">
        <v>346</v>
      </c>
      <c r="E16" s="15" t="s">
        <v>75</v>
      </c>
      <c r="F16" s="14" t="s">
        <v>142</v>
      </c>
      <c r="G16" s="14" t="s">
        <v>125</v>
      </c>
      <c r="H16" s="17">
        <v>24105</v>
      </c>
      <c r="I16" s="14" t="s">
        <v>275</v>
      </c>
      <c r="J16" s="14">
        <v>27</v>
      </c>
      <c r="K16" s="15" t="s">
        <v>275</v>
      </c>
      <c r="L16" s="14">
        <v>27</v>
      </c>
      <c r="M16" s="17">
        <f>H16</f>
        <v>24105</v>
      </c>
      <c r="N16" s="17"/>
      <c r="O16" s="444"/>
      <c r="P16" s="444"/>
      <c r="Q16" s="444"/>
      <c r="R16" s="444" t="s">
        <v>296</v>
      </c>
    </row>
    <row r="17" spans="1:18" ht="21.95" customHeight="1" x14ac:dyDescent="0.25">
      <c r="A17" s="14">
        <v>12</v>
      </c>
      <c r="B17" s="14">
        <v>167</v>
      </c>
      <c r="C17" s="14" t="s">
        <v>17</v>
      </c>
      <c r="D17" s="14" t="s">
        <v>346</v>
      </c>
      <c r="E17" s="15" t="s">
        <v>331</v>
      </c>
      <c r="F17" s="14" t="s">
        <v>143</v>
      </c>
      <c r="G17" s="14" t="s">
        <v>144</v>
      </c>
      <c r="H17" s="17">
        <v>13073</v>
      </c>
      <c r="I17" s="14" t="s">
        <v>276</v>
      </c>
      <c r="J17" s="14">
        <v>11</v>
      </c>
      <c r="K17" s="14" t="s">
        <v>294</v>
      </c>
      <c r="L17" s="14">
        <v>11</v>
      </c>
      <c r="M17" s="17">
        <v>13073</v>
      </c>
      <c r="N17" s="17"/>
      <c r="O17" s="444"/>
      <c r="P17" s="444"/>
      <c r="Q17" s="444"/>
      <c r="R17" s="444" t="s">
        <v>296</v>
      </c>
    </row>
    <row r="18" spans="1:18" ht="31.5" x14ac:dyDescent="0.25">
      <c r="A18" s="14">
        <v>13</v>
      </c>
      <c r="B18" s="15" t="s">
        <v>316</v>
      </c>
      <c r="C18" s="14" t="s">
        <v>18</v>
      </c>
      <c r="D18" s="14" t="s">
        <v>345</v>
      </c>
      <c r="E18" s="15" t="s">
        <v>76</v>
      </c>
      <c r="F18" s="14" t="s">
        <v>145</v>
      </c>
      <c r="G18" s="14" t="s">
        <v>146</v>
      </c>
      <c r="H18" s="17">
        <v>2741</v>
      </c>
      <c r="I18" s="14" t="s">
        <v>277</v>
      </c>
      <c r="J18" s="14">
        <v>4</v>
      </c>
      <c r="K18" s="14" t="s">
        <v>277</v>
      </c>
      <c r="L18" s="14">
        <f>J18</f>
        <v>4</v>
      </c>
      <c r="M18" s="17">
        <f>H18</f>
        <v>2741</v>
      </c>
      <c r="N18" s="17"/>
      <c r="O18" s="444"/>
      <c r="P18" s="444"/>
      <c r="Q18" s="444"/>
      <c r="R18" s="444" t="s">
        <v>296</v>
      </c>
    </row>
    <row r="19" spans="1:18" s="20" customFormat="1" ht="31.5" x14ac:dyDescent="0.25">
      <c r="A19" s="14">
        <v>14</v>
      </c>
      <c r="B19" s="14">
        <v>174</v>
      </c>
      <c r="C19" s="14" t="s">
        <v>463</v>
      </c>
      <c r="D19" s="14" t="s">
        <v>347</v>
      </c>
      <c r="E19" s="15" t="s">
        <v>481</v>
      </c>
      <c r="F19" s="14">
        <v>6181340</v>
      </c>
      <c r="G19" s="14" t="s">
        <v>482</v>
      </c>
      <c r="H19" s="17">
        <f>913+1035+1394+661</f>
        <v>4003</v>
      </c>
      <c r="I19" s="14" t="s">
        <v>464</v>
      </c>
      <c r="J19" s="14">
        <v>4</v>
      </c>
      <c r="K19" s="14" t="s">
        <v>833</v>
      </c>
      <c r="L19" s="63">
        <v>4</v>
      </c>
      <c r="M19" s="17">
        <v>4003</v>
      </c>
      <c r="N19" s="17"/>
      <c r="O19" s="444"/>
      <c r="P19" s="444"/>
      <c r="Q19" s="444"/>
      <c r="R19" s="444" t="s">
        <v>296</v>
      </c>
    </row>
    <row r="20" spans="1:18" s="1" customFormat="1" ht="15.75" x14ac:dyDescent="0.25">
      <c r="A20" s="14">
        <v>15</v>
      </c>
      <c r="B20" s="14">
        <v>173</v>
      </c>
      <c r="C20" s="14" t="s">
        <v>19</v>
      </c>
      <c r="D20" s="14" t="s">
        <v>346</v>
      </c>
      <c r="E20" s="15" t="s">
        <v>77</v>
      </c>
      <c r="F20" s="14">
        <v>3761822</v>
      </c>
      <c r="G20" s="14" t="s">
        <v>148</v>
      </c>
      <c r="H20" s="17">
        <v>1264</v>
      </c>
      <c r="I20" s="14" t="s">
        <v>147</v>
      </c>
      <c r="J20" s="14">
        <v>3</v>
      </c>
      <c r="K20" s="14" t="s">
        <v>147</v>
      </c>
      <c r="L20" s="63">
        <v>3</v>
      </c>
      <c r="M20" s="17">
        <v>1264</v>
      </c>
      <c r="N20" s="17"/>
      <c r="O20" s="444"/>
      <c r="P20" s="444"/>
      <c r="Q20" s="444"/>
      <c r="R20" s="444" t="s">
        <v>296</v>
      </c>
    </row>
    <row r="21" spans="1:18" ht="31.5" x14ac:dyDescent="0.25">
      <c r="A21" s="14">
        <v>16</v>
      </c>
      <c r="B21" s="14">
        <v>179</v>
      </c>
      <c r="C21" s="14" t="s">
        <v>22</v>
      </c>
      <c r="D21" s="14" t="s">
        <v>718</v>
      </c>
      <c r="E21" s="15" t="s">
        <v>79</v>
      </c>
      <c r="F21" s="14">
        <v>3435493</v>
      </c>
      <c r="G21" s="14" t="s">
        <v>135</v>
      </c>
      <c r="H21" s="17">
        <v>1507</v>
      </c>
      <c r="I21" s="14" t="s">
        <v>151</v>
      </c>
      <c r="J21" s="14">
        <v>3</v>
      </c>
      <c r="K21" s="14" t="str">
        <f>I21</f>
        <v>GF, 1st, Roof</v>
      </c>
      <c r="L21" s="14">
        <f>J21</f>
        <v>3</v>
      </c>
      <c r="M21" s="17">
        <f>H21</f>
        <v>1507</v>
      </c>
      <c r="N21" s="17"/>
      <c r="O21" s="444"/>
      <c r="P21" s="444"/>
      <c r="Q21" s="444"/>
      <c r="R21" s="444" t="s">
        <v>296</v>
      </c>
    </row>
    <row r="22" spans="1:18" ht="47.25" x14ac:dyDescent="0.25">
      <c r="A22" s="14">
        <v>17</v>
      </c>
      <c r="B22" s="14">
        <v>183</v>
      </c>
      <c r="C22" s="14" t="s">
        <v>23</v>
      </c>
      <c r="D22" s="14" t="s">
        <v>347</v>
      </c>
      <c r="E22" s="15" t="s">
        <v>479</v>
      </c>
      <c r="F22" s="14">
        <v>6731129</v>
      </c>
      <c r="G22" s="15" t="s">
        <v>153</v>
      </c>
      <c r="H22" s="17">
        <v>51302</v>
      </c>
      <c r="I22" s="14" t="s">
        <v>152</v>
      </c>
      <c r="J22" s="14">
        <v>21</v>
      </c>
      <c r="K22" s="380" t="s">
        <v>1142</v>
      </c>
      <c r="L22" s="14">
        <v>21</v>
      </c>
      <c r="M22" s="381">
        <v>50628.17</v>
      </c>
      <c r="N22" s="453"/>
      <c r="O22" s="444"/>
      <c r="P22" s="444"/>
      <c r="Q22" s="444"/>
      <c r="R22" s="444"/>
    </row>
    <row r="23" spans="1:18" ht="31.5" x14ac:dyDescent="0.25">
      <c r="A23" s="14">
        <v>18</v>
      </c>
      <c r="B23" s="14">
        <v>184</v>
      </c>
      <c r="C23" s="14" t="s">
        <v>24</v>
      </c>
      <c r="D23" s="14"/>
      <c r="E23" s="15" t="s">
        <v>80</v>
      </c>
      <c r="F23" s="14">
        <v>6317124</v>
      </c>
      <c r="G23" s="15" t="s">
        <v>155</v>
      </c>
      <c r="H23" s="17">
        <v>806</v>
      </c>
      <c r="I23" s="14" t="s">
        <v>154</v>
      </c>
      <c r="J23" s="14">
        <v>4</v>
      </c>
      <c r="K23" s="14" t="s">
        <v>154</v>
      </c>
      <c r="L23" s="14">
        <f>J23</f>
        <v>4</v>
      </c>
      <c r="M23" s="17">
        <f>H23</f>
        <v>806</v>
      </c>
      <c r="N23" s="17"/>
      <c r="O23" s="444"/>
      <c r="P23" s="444"/>
      <c r="Q23" s="444"/>
      <c r="R23" s="444" t="s">
        <v>296</v>
      </c>
    </row>
    <row r="24" spans="1:18" ht="31.5" x14ac:dyDescent="0.25">
      <c r="A24" s="14">
        <v>19</v>
      </c>
      <c r="B24" s="14">
        <v>186</v>
      </c>
      <c r="C24" s="14" t="s">
        <v>25</v>
      </c>
      <c r="D24" s="14" t="s">
        <v>346</v>
      </c>
      <c r="E24" s="15" t="s">
        <v>81</v>
      </c>
      <c r="F24" s="14">
        <v>6817237</v>
      </c>
      <c r="G24" s="15" t="s">
        <v>157</v>
      </c>
      <c r="H24" s="17">
        <v>24538</v>
      </c>
      <c r="I24" s="14" t="s">
        <v>156</v>
      </c>
      <c r="J24" s="14">
        <v>18</v>
      </c>
      <c r="K24" s="15" t="s">
        <v>156</v>
      </c>
      <c r="L24" s="14">
        <v>18</v>
      </c>
      <c r="M24" s="17">
        <v>24538</v>
      </c>
      <c r="N24" s="17"/>
      <c r="O24" s="444"/>
      <c r="P24" s="444"/>
      <c r="Q24" s="444"/>
      <c r="R24" s="444" t="s">
        <v>296</v>
      </c>
    </row>
    <row r="25" spans="1:18" ht="31.5" x14ac:dyDescent="0.25">
      <c r="A25" s="14">
        <v>20</v>
      </c>
      <c r="B25" s="14">
        <v>188</v>
      </c>
      <c r="C25" s="14" t="s">
        <v>26</v>
      </c>
      <c r="D25" s="14" t="s">
        <v>346</v>
      </c>
      <c r="E25" s="15" t="s">
        <v>82</v>
      </c>
      <c r="F25" s="14">
        <v>6456413</v>
      </c>
      <c r="G25" s="15" t="s">
        <v>159</v>
      </c>
      <c r="H25" s="17">
        <v>11379</v>
      </c>
      <c r="I25" s="14" t="s">
        <v>158</v>
      </c>
      <c r="J25" s="14">
        <v>6</v>
      </c>
      <c r="K25" s="14" t="s">
        <v>158</v>
      </c>
      <c r="L25" s="14">
        <v>5</v>
      </c>
      <c r="M25" s="17">
        <f>H25</f>
        <v>11379</v>
      </c>
      <c r="N25" s="17"/>
      <c r="O25" s="444"/>
      <c r="P25" s="444"/>
      <c r="Q25" s="444"/>
      <c r="R25" s="444" t="s">
        <v>296</v>
      </c>
    </row>
    <row r="26" spans="1:18" ht="31.5" x14ac:dyDescent="0.25">
      <c r="A26" s="14">
        <v>21</v>
      </c>
      <c r="B26" s="14">
        <v>189</v>
      </c>
      <c r="C26" s="14" t="s">
        <v>27</v>
      </c>
      <c r="D26" s="14" t="s">
        <v>718</v>
      </c>
      <c r="E26" s="15" t="s">
        <v>83</v>
      </c>
      <c r="F26" s="14">
        <v>3435504</v>
      </c>
      <c r="G26" s="15" t="s">
        <v>135</v>
      </c>
      <c r="H26" s="17">
        <v>951</v>
      </c>
      <c r="I26" s="14" t="s">
        <v>160</v>
      </c>
      <c r="J26" s="14">
        <v>2</v>
      </c>
      <c r="K26" s="14" t="s">
        <v>160</v>
      </c>
      <c r="L26" s="14">
        <v>2</v>
      </c>
      <c r="M26" s="17">
        <f>H26</f>
        <v>951</v>
      </c>
      <c r="N26" s="17"/>
      <c r="O26" s="444"/>
      <c r="P26" s="444"/>
      <c r="Q26" s="444"/>
      <c r="R26" s="444" t="s">
        <v>296</v>
      </c>
    </row>
    <row r="27" spans="1:18" s="1" customFormat="1" ht="15.75" x14ac:dyDescent="0.25">
      <c r="A27" s="14">
        <v>22</v>
      </c>
      <c r="B27" s="14">
        <v>192</v>
      </c>
      <c r="C27" s="14" t="s">
        <v>29</v>
      </c>
      <c r="D27" s="14" t="s">
        <v>718</v>
      </c>
      <c r="E27" s="15" t="s">
        <v>85</v>
      </c>
      <c r="F27" s="14">
        <v>5919626</v>
      </c>
      <c r="G27" s="15" t="s">
        <v>133</v>
      </c>
      <c r="H27" s="17">
        <v>29093</v>
      </c>
      <c r="I27" s="14" t="s">
        <v>299</v>
      </c>
      <c r="J27" s="14">
        <v>10</v>
      </c>
      <c r="K27" s="14" t="s">
        <v>834</v>
      </c>
      <c r="L27" s="14">
        <v>10</v>
      </c>
      <c r="M27" s="17">
        <v>29093</v>
      </c>
      <c r="N27" s="17"/>
      <c r="O27" s="444"/>
      <c r="P27" s="444"/>
      <c r="Q27" s="444"/>
      <c r="R27" s="444" t="s">
        <v>296</v>
      </c>
    </row>
    <row r="28" spans="1:18" ht="31.5" x14ac:dyDescent="0.25">
      <c r="A28" s="14">
        <v>23</v>
      </c>
      <c r="B28" s="14">
        <v>193</v>
      </c>
      <c r="C28" s="14" t="s">
        <v>30</v>
      </c>
      <c r="D28" s="14" t="s">
        <v>346</v>
      </c>
      <c r="E28" s="14" t="s">
        <v>86</v>
      </c>
      <c r="F28" s="14">
        <v>59110351</v>
      </c>
      <c r="G28" s="15" t="s">
        <v>163</v>
      </c>
      <c r="H28" s="17">
        <v>27732</v>
      </c>
      <c r="I28" s="14" t="s">
        <v>162</v>
      </c>
      <c r="J28" s="14">
        <v>13</v>
      </c>
      <c r="K28" s="380" t="s">
        <v>975</v>
      </c>
      <c r="L28" s="14">
        <v>0</v>
      </c>
      <c r="M28" s="17">
        <f>H28</f>
        <v>27732</v>
      </c>
      <c r="N28" s="17"/>
      <c r="O28" s="444"/>
      <c r="P28" s="444"/>
      <c r="Q28" s="444"/>
      <c r="R28" s="444"/>
    </row>
    <row r="29" spans="1:18" ht="21.95" customHeight="1" x14ac:dyDescent="0.25">
      <c r="A29" s="14">
        <v>24</v>
      </c>
      <c r="B29" s="14">
        <v>194</v>
      </c>
      <c r="C29" s="14" t="s">
        <v>31</v>
      </c>
      <c r="D29" s="14" t="s">
        <v>346</v>
      </c>
      <c r="E29" s="15" t="s">
        <v>87</v>
      </c>
      <c r="F29" s="14" t="s">
        <v>165</v>
      </c>
      <c r="G29" s="15" t="s">
        <v>166</v>
      </c>
      <c r="H29" s="17">
        <v>38337</v>
      </c>
      <c r="I29" s="14" t="s">
        <v>164</v>
      </c>
      <c r="J29" s="14">
        <v>6</v>
      </c>
      <c r="K29" s="14" t="s">
        <v>164</v>
      </c>
      <c r="L29" s="14">
        <v>5</v>
      </c>
      <c r="M29" s="17">
        <f>H29</f>
        <v>38337</v>
      </c>
      <c r="N29" s="17"/>
      <c r="O29" s="444" t="s">
        <v>296</v>
      </c>
      <c r="P29" s="444" t="s">
        <v>948</v>
      </c>
      <c r="Q29" s="444" t="s">
        <v>1275</v>
      </c>
      <c r="R29" s="444" t="s">
        <v>296</v>
      </c>
    </row>
    <row r="30" spans="1:18" ht="21.95" customHeight="1" x14ac:dyDescent="0.25">
      <c r="A30" s="14">
        <v>25</v>
      </c>
      <c r="B30" s="14">
        <v>198</v>
      </c>
      <c r="C30" s="14" t="s">
        <v>32</v>
      </c>
      <c r="D30" s="14" t="s">
        <v>345</v>
      </c>
      <c r="E30" s="15" t="s">
        <v>88</v>
      </c>
      <c r="F30" s="14" t="s">
        <v>167</v>
      </c>
      <c r="G30" s="15" t="s">
        <v>168</v>
      </c>
      <c r="H30" s="17">
        <f>446+490</f>
        <v>936</v>
      </c>
      <c r="I30" s="14" t="s">
        <v>353</v>
      </c>
      <c r="J30" s="14">
        <v>2</v>
      </c>
      <c r="K30" s="14" t="s">
        <v>195</v>
      </c>
      <c r="L30" s="14">
        <v>2</v>
      </c>
      <c r="M30" s="17">
        <v>936</v>
      </c>
      <c r="N30" s="17"/>
      <c r="O30" s="444"/>
      <c r="P30" s="444"/>
      <c r="Q30" s="444"/>
      <c r="R30" s="444" t="s">
        <v>296</v>
      </c>
    </row>
    <row r="31" spans="1:18" ht="31.5" x14ac:dyDescent="0.25">
      <c r="A31" s="14">
        <v>26</v>
      </c>
      <c r="B31" s="14">
        <v>199</v>
      </c>
      <c r="C31" s="14" t="s">
        <v>33</v>
      </c>
      <c r="D31" s="14" t="s">
        <v>347</v>
      </c>
      <c r="E31" s="15" t="s">
        <v>172</v>
      </c>
      <c r="F31" s="14" t="s">
        <v>170</v>
      </c>
      <c r="G31" s="15" t="s">
        <v>171</v>
      </c>
      <c r="H31" s="17">
        <v>1709</v>
      </c>
      <c r="I31" s="14" t="s">
        <v>169</v>
      </c>
      <c r="J31" s="14">
        <v>3</v>
      </c>
      <c r="K31" s="14" t="s">
        <v>169</v>
      </c>
      <c r="L31" s="14">
        <v>3</v>
      </c>
      <c r="M31" s="17">
        <f>H31</f>
        <v>1709</v>
      </c>
      <c r="N31" s="17"/>
      <c r="O31" s="444"/>
      <c r="P31" s="444"/>
      <c r="Q31" s="444"/>
      <c r="R31" s="444" t="s">
        <v>296</v>
      </c>
    </row>
    <row r="32" spans="1:18" s="1" customFormat="1" ht="21.95" customHeight="1" x14ac:dyDescent="0.25">
      <c r="A32" s="14">
        <v>27</v>
      </c>
      <c r="B32" s="14">
        <v>200</v>
      </c>
      <c r="C32" s="14" t="s">
        <v>34</v>
      </c>
      <c r="D32" s="14" t="s">
        <v>347</v>
      </c>
      <c r="E32" s="15" t="s">
        <v>89</v>
      </c>
      <c r="F32" s="14" t="s">
        <v>173</v>
      </c>
      <c r="G32" s="15" t="s">
        <v>174</v>
      </c>
      <c r="H32" s="17">
        <v>821</v>
      </c>
      <c r="I32" s="14" t="s">
        <v>559</v>
      </c>
      <c r="J32" s="14">
        <v>2</v>
      </c>
      <c r="K32" s="14" t="s">
        <v>558</v>
      </c>
      <c r="L32" s="14">
        <v>2</v>
      </c>
      <c r="M32" s="17">
        <f>H32</f>
        <v>821</v>
      </c>
      <c r="N32" s="17"/>
      <c r="O32" s="444"/>
      <c r="P32" s="444"/>
      <c r="Q32" s="444"/>
      <c r="R32" s="444" t="s">
        <v>296</v>
      </c>
    </row>
    <row r="33" spans="1:18" ht="31.5" x14ac:dyDescent="0.25">
      <c r="A33" s="14">
        <v>28</v>
      </c>
      <c r="B33" s="14">
        <v>201</v>
      </c>
      <c r="C33" s="14" t="s">
        <v>35</v>
      </c>
      <c r="D33" s="14" t="s">
        <v>347</v>
      </c>
      <c r="E33" s="15" t="s">
        <v>90</v>
      </c>
      <c r="F33" s="14" t="s">
        <v>176</v>
      </c>
      <c r="G33" s="15" t="s">
        <v>177</v>
      </c>
      <c r="H33" s="17">
        <v>5571</v>
      </c>
      <c r="I33" s="14" t="s">
        <v>175</v>
      </c>
      <c r="J33" s="14">
        <v>5</v>
      </c>
      <c r="K33" s="14" t="s">
        <v>300</v>
      </c>
      <c r="L33" s="14">
        <v>4</v>
      </c>
      <c r="M33" s="17">
        <f>H33</f>
        <v>5571</v>
      </c>
      <c r="N33" s="17"/>
      <c r="O33" s="444"/>
      <c r="P33" s="444"/>
      <c r="Q33" s="444"/>
      <c r="R33" s="444" t="s">
        <v>296</v>
      </c>
    </row>
    <row r="34" spans="1:18" ht="21.95" customHeight="1" x14ac:dyDescent="0.25">
      <c r="A34" s="14">
        <v>29</v>
      </c>
      <c r="B34" s="14">
        <v>202</v>
      </c>
      <c r="C34" s="14" t="s">
        <v>36</v>
      </c>
      <c r="D34" s="14" t="s">
        <v>345</v>
      </c>
      <c r="E34" s="15" t="s">
        <v>91</v>
      </c>
      <c r="F34" s="14">
        <v>3940873</v>
      </c>
      <c r="G34" s="15" t="s">
        <v>146</v>
      </c>
      <c r="H34" s="17">
        <v>2433</v>
      </c>
      <c r="I34" s="14" t="s">
        <v>178</v>
      </c>
      <c r="J34" s="14">
        <v>3</v>
      </c>
      <c r="K34" s="14" t="s">
        <v>258</v>
      </c>
      <c r="L34" s="14"/>
      <c r="M34" s="17"/>
      <c r="N34" s="17"/>
      <c r="O34" s="444"/>
      <c r="P34" s="444"/>
      <c r="Q34" s="444"/>
      <c r="R34" s="444" t="s">
        <v>296</v>
      </c>
    </row>
    <row r="35" spans="1:18" ht="21.95" customHeight="1" x14ac:dyDescent="0.25">
      <c r="A35" s="14">
        <v>30</v>
      </c>
      <c r="B35" s="14">
        <v>204</v>
      </c>
      <c r="C35" s="14" t="s">
        <v>37</v>
      </c>
      <c r="D35" s="14" t="s">
        <v>346</v>
      </c>
      <c r="E35" s="15" t="s">
        <v>639</v>
      </c>
      <c r="F35" s="14">
        <v>6185435</v>
      </c>
      <c r="G35" s="15" t="s">
        <v>180</v>
      </c>
      <c r="H35" s="17" t="s">
        <v>120</v>
      </c>
      <c r="I35" s="14" t="s">
        <v>179</v>
      </c>
      <c r="J35" s="14">
        <v>9</v>
      </c>
      <c r="K35" s="14" t="s">
        <v>179</v>
      </c>
      <c r="L35" s="14">
        <v>9</v>
      </c>
      <c r="M35" s="17" t="str">
        <f>H35</f>
        <v xml:space="preserve"> </v>
      </c>
      <c r="N35" s="17"/>
      <c r="O35" s="444"/>
      <c r="P35" s="444"/>
      <c r="Q35" s="444"/>
      <c r="R35" s="444" t="s">
        <v>296</v>
      </c>
    </row>
    <row r="36" spans="1:18" ht="21.95" customHeight="1" x14ac:dyDescent="0.25">
      <c r="A36" s="14">
        <v>31</v>
      </c>
      <c r="B36" s="14">
        <v>206</v>
      </c>
      <c r="C36" s="14" t="s">
        <v>38</v>
      </c>
      <c r="D36" s="14" t="s">
        <v>346</v>
      </c>
      <c r="E36" s="15" t="s">
        <v>92</v>
      </c>
      <c r="F36" s="14" t="s">
        <v>181</v>
      </c>
      <c r="G36" s="15" t="s">
        <v>182</v>
      </c>
      <c r="H36" s="17">
        <f>540000/27</f>
        <v>20000</v>
      </c>
      <c r="I36" s="14" t="s">
        <v>301</v>
      </c>
      <c r="J36" s="14">
        <v>3</v>
      </c>
      <c r="K36" s="14" t="s">
        <v>302</v>
      </c>
      <c r="L36" s="14">
        <v>2</v>
      </c>
      <c r="M36" s="17">
        <v>19500</v>
      </c>
      <c r="N36" s="17"/>
      <c r="O36" s="444"/>
      <c r="P36" s="444"/>
      <c r="Q36" s="444"/>
      <c r="R36" s="444" t="s">
        <v>296</v>
      </c>
    </row>
    <row r="37" spans="1:18" ht="57" customHeight="1" x14ac:dyDescent="0.25">
      <c r="A37" s="14">
        <v>32</v>
      </c>
      <c r="B37" s="14">
        <v>209</v>
      </c>
      <c r="C37" s="14" t="s">
        <v>39</v>
      </c>
      <c r="D37" s="14" t="s">
        <v>345</v>
      </c>
      <c r="E37" s="15" t="s">
        <v>93</v>
      </c>
      <c r="F37" s="14" t="s">
        <v>183</v>
      </c>
      <c r="G37" s="15" t="s">
        <v>184</v>
      </c>
      <c r="H37" s="17">
        <v>6502</v>
      </c>
      <c r="I37" s="14" t="s">
        <v>185</v>
      </c>
      <c r="J37" s="14">
        <v>7</v>
      </c>
      <c r="K37" s="14" t="s">
        <v>819</v>
      </c>
      <c r="L37" s="14">
        <v>7</v>
      </c>
      <c r="M37" s="17">
        <v>6502</v>
      </c>
      <c r="N37" s="17"/>
      <c r="O37" s="444"/>
      <c r="P37" s="444"/>
      <c r="Q37" s="444"/>
      <c r="R37" s="444" t="s">
        <v>296</v>
      </c>
    </row>
    <row r="38" spans="1:18" ht="31.5" x14ac:dyDescent="0.25">
      <c r="A38" s="14">
        <v>33</v>
      </c>
      <c r="B38" s="14">
        <v>211</v>
      </c>
      <c r="C38" s="14" t="s">
        <v>40</v>
      </c>
      <c r="D38" s="14" t="s">
        <v>346</v>
      </c>
      <c r="E38" s="15" t="s">
        <v>94</v>
      </c>
      <c r="F38" s="15" t="s">
        <v>321</v>
      </c>
      <c r="G38" s="15" t="s">
        <v>187</v>
      </c>
      <c r="H38" s="17">
        <v>653</v>
      </c>
      <c r="I38" s="14" t="s">
        <v>186</v>
      </c>
      <c r="J38" s="14">
        <v>2</v>
      </c>
      <c r="K38" s="14" t="s">
        <v>557</v>
      </c>
      <c r="L38" s="14">
        <v>2</v>
      </c>
      <c r="M38" s="17">
        <v>653</v>
      </c>
      <c r="N38" s="17"/>
      <c r="O38" s="444"/>
      <c r="P38" s="444"/>
      <c r="Q38" s="444"/>
      <c r="R38" s="444" t="s">
        <v>296</v>
      </c>
    </row>
    <row r="39" spans="1:18" s="1" customFormat="1" ht="31.5" x14ac:dyDescent="0.25">
      <c r="A39" s="14">
        <v>34</v>
      </c>
      <c r="B39" s="14">
        <v>212</v>
      </c>
      <c r="C39" s="14" t="s">
        <v>41</v>
      </c>
      <c r="D39" s="14" t="s">
        <v>345</v>
      </c>
      <c r="E39" s="15" t="s">
        <v>95</v>
      </c>
      <c r="F39" s="14">
        <v>6489155</v>
      </c>
      <c r="G39" s="15" t="s">
        <v>161</v>
      </c>
      <c r="H39" s="17">
        <v>5046</v>
      </c>
      <c r="I39" s="14" t="s">
        <v>188</v>
      </c>
      <c r="J39" s="14">
        <v>4</v>
      </c>
      <c r="K39" s="14" t="s">
        <v>716</v>
      </c>
      <c r="L39" s="14">
        <v>4</v>
      </c>
      <c r="M39" s="17">
        <v>5046</v>
      </c>
      <c r="N39" s="17"/>
      <c r="O39" s="444"/>
      <c r="P39" s="444"/>
      <c r="Q39" s="444"/>
      <c r="R39" s="444" t="s">
        <v>296</v>
      </c>
    </row>
    <row r="40" spans="1:18" s="1" customFormat="1" ht="31.5" x14ac:dyDescent="0.25">
      <c r="A40" s="14">
        <v>35</v>
      </c>
      <c r="B40" s="14">
        <v>213</v>
      </c>
      <c r="C40" s="14" t="s">
        <v>42</v>
      </c>
      <c r="D40" s="14" t="s">
        <v>345</v>
      </c>
      <c r="E40" s="15" t="s">
        <v>96</v>
      </c>
      <c r="F40" s="14">
        <v>6218417</v>
      </c>
      <c r="G40" s="15" t="s">
        <v>190</v>
      </c>
      <c r="H40" s="17">
        <v>4647</v>
      </c>
      <c r="I40" s="14" t="s">
        <v>189</v>
      </c>
      <c r="J40" s="14">
        <v>6</v>
      </c>
      <c r="K40" s="14" t="s">
        <v>770</v>
      </c>
      <c r="L40" s="14">
        <v>6</v>
      </c>
      <c r="M40" s="17">
        <v>4647</v>
      </c>
      <c r="N40" s="17"/>
      <c r="O40" s="444"/>
      <c r="P40" s="444"/>
      <c r="Q40" s="444"/>
      <c r="R40" s="444" t="s">
        <v>296</v>
      </c>
    </row>
    <row r="41" spans="1:18" s="1" customFormat="1" ht="31.5" x14ac:dyDescent="0.25">
      <c r="A41" s="14">
        <v>36</v>
      </c>
      <c r="B41" s="14">
        <v>214</v>
      </c>
      <c r="C41" s="14" t="s">
        <v>43</v>
      </c>
      <c r="D41" s="14" t="s">
        <v>345</v>
      </c>
      <c r="E41" s="15" t="s">
        <v>97</v>
      </c>
      <c r="F41" s="14" t="s">
        <v>191</v>
      </c>
      <c r="G41" s="15" t="s">
        <v>192</v>
      </c>
      <c r="H41" s="17">
        <v>6517</v>
      </c>
      <c r="I41" s="14" t="s">
        <v>662</v>
      </c>
      <c r="J41" s="14">
        <v>7</v>
      </c>
      <c r="K41" s="14" t="s">
        <v>771</v>
      </c>
      <c r="L41" s="14">
        <v>7</v>
      </c>
      <c r="M41" s="17">
        <v>6517</v>
      </c>
      <c r="N41" s="17"/>
      <c r="O41" s="444"/>
      <c r="P41" s="444"/>
      <c r="Q41" s="444"/>
      <c r="R41" s="444" t="s">
        <v>296</v>
      </c>
    </row>
    <row r="42" spans="1:18" s="1" customFormat="1" ht="31.5" x14ac:dyDescent="0.25">
      <c r="A42" s="14">
        <v>37</v>
      </c>
      <c r="B42" s="14">
        <v>215</v>
      </c>
      <c r="C42" s="14" t="s">
        <v>44</v>
      </c>
      <c r="D42" s="14" t="s">
        <v>718</v>
      </c>
      <c r="E42" s="15" t="s">
        <v>98</v>
      </c>
      <c r="F42" s="14">
        <v>63110686</v>
      </c>
      <c r="G42" s="15" t="s">
        <v>193</v>
      </c>
      <c r="H42" s="17">
        <v>38626</v>
      </c>
      <c r="I42" s="14" t="s">
        <v>194</v>
      </c>
      <c r="J42" s="14">
        <v>23</v>
      </c>
      <c r="K42" s="14" t="s">
        <v>721</v>
      </c>
      <c r="L42" s="14">
        <v>23</v>
      </c>
      <c r="M42" s="17">
        <v>38626</v>
      </c>
      <c r="N42" s="17"/>
      <c r="O42" s="444"/>
      <c r="P42" s="444"/>
      <c r="Q42" s="444"/>
      <c r="R42" s="444" t="s">
        <v>296</v>
      </c>
    </row>
    <row r="43" spans="1:18" ht="31.5" x14ac:dyDescent="0.25">
      <c r="A43" s="14">
        <v>38</v>
      </c>
      <c r="B43" s="14">
        <v>216</v>
      </c>
      <c r="C43" s="14" t="s">
        <v>348</v>
      </c>
      <c r="D43" s="14" t="s">
        <v>212</v>
      </c>
      <c r="E43" s="15" t="s">
        <v>349</v>
      </c>
      <c r="F43" s="14"/>
      <c r="G43" s="15"/>
      <c r="H43" s="17"/>
      <c r="I43" s="14"/>
      <c r="J43" s="14"/>
      <c r="K43" s="14"/>
      <c r="L43" s="14"/>
      <c r="M43" s="17"/>
      <c r="N43" s="17"/>
      <c r="O43" s="444"/>
      <c r="P43" s="444"/>
      <c r="Q43" s="444"/>
      <c r="R43" s="444" t="s">
        <v>296</v>
      </c>
    </row>
    <row r="44" spans="1:18" ht="21.95" customHeight="1" x14ac:dyDescent="0.25">
      <c r="A44" s="14">
        <v>39</v>
      </c>
      <c r="B44" s="14">
        <v>217</v>
      </c>
      <c r="C44" s="14" t="s">
        <v>350</v>
      </c>
      <c r="D44" s="14"/>
      <c r="E44" s="15" t="s">
        <v>351</v>
      </c>
      <c r="F44" s="14">
        <v>3450429</v>
      </c>
      <c r="G44" s="15" t="s">
        <v>352</v>
      </c>
      <c r="H44" s="17">
        <v>1422</v>
      </c>
      <c r="I44" s="14" t="s">
        <v>353</v>
      </c>
      <c r="J44" s="14">
        <v>2</v>
      </c>
      <c r="K44" s="14" t="s">
        <v>353</v>
      </c>
      <c r="L44" s="14">
        <v>2</v>
      </c>
      <c r="M44" s="17">
        <f>H44</f>
        <v>1422</v>
      </c>
      <c r="N44" s="17"/>
      <c r="O44" s="444"/>
      <c r="P44" s="444"/>
      <c r="Q44" s="444"/>
      <c r="R44" s="444" t="s">
        <v>296</v>
      </c>
    </row>
    <row r="45" spans="1:18" ht="31.5" x14ac:dyDescent="0.25">
      <c r="A45" s="14">
        <v>40</v>
      </c>
      <c r="B45" s="14">
        <v>218</v>
      </c>
      <c r="C45" s="14" t="s">
        <v>45</v>
      </c>
      <c r="D45" s="14" t="s">
        <v>347</v>
      </c>
      <c r="E45" s="15" t="s">
        <v>99</v>
      </c>
      <c r="F45" s="14">
        <v>9131390</v>
      </c>
      <c r="G45" s="15" t="s">
        <v>196</v>
      </c>
      <c r="H45" s="17">
        <v>620</v>
      </c>
      <c r="I45" s="14" t="s">
        <v>195</v>
      </c>
      <c r="J45" s="14">
        <v>2</v>
      </c>
      <c r="K45" s="14" t="s">
        <v>295</v>
      </c>
      <c r="L45" s="14">
        <v>2</v>
      </c>
      <c r="M45" s="17">
        <f>H45</f>
        <v>620</v>
      </c>
      <c r="N45" s="17"/>
      <c r="O45" s="444"/>
      <c r="P45" s="444"/>
      <c r="Q45" s="444"/>
      <c r="R45" s="444" t="s">
        <v>296</v>
      </c>
    </row>
    <row r="46" spans="1:18" s="1" customFormat="1" ht="37.5" customHeight="1" x14ac:dyDescent="0.25">
      <c r="A46" s="14">
        <v>41</v>
      </c>
      <c r="B46" s="14">
        <v>221</v>
      </c>
      <c r="C46" s="14" t="s">
        <v>46</v>
      </c>
      <c r="D46" s="14" t="s">
        <v>345</v>
      </c>
      <c r="E46" s="15" t="s">
        <v>100</v>
      </c>
      <c r="F46" s="14">
        <v>1241205</v>
      </c>
      <c r="G46" s="15" t="s">
        <v>199</v>
      </c>
      <c r="H46" s="17">
        <v>6822</v>
      </c>
      <c r="I46" s="14" t="s">
        <v>198</v>
      </c>
      <c r="J46" s="14">
        <v>9</v>
      </c>
      <c r="K46" s="14" t="s">
        <v>818</v>
      </c>
      <c r="L46" s="14">
        <v>9</v>
      </c>
      <c r="M46" s="17">
        <v>6822</v>
      </c>
      <c r="N46" s="17"/>
      <c r="O46" s="444"/>
      <c r="P46" s="444"/>
      <c r="Q46" s="444"/>
      <c r="R46" s="444" t="s">
        <v>296</v>
      </c>
    </row>
    <row r="47" spans="1:18" ht="31.5" x14ac:dyDescent="0.25">
      <c r="A47" s="14">
        <v>42</v>
      </c>
      <c r="B47" s="14">
        <v>222</v>
      </c>
      <c r="C47" s="14" t="s">
        <v>359</v>
      </c>
      <c r="D47" s="14" t="s">
        <v>212</v>
      </c>
      <c r="E47" s="15" t="s">
        <v>360</v>
      </c>
      <c r="F47" s="14"/>
      <c r="G47" s="15"/>
      <c r="H47" s="17"/>
      <c r="I47" s="14"/>
      <c r="J47" s="14"/>
      <c r="K47" s="14"/>
      <c r="L47" s="14"/>
      <c r="M47" s="17"/>
      <c r="N47" s="17"/>
      <c r="O47" s="444"/>
      <c r="P47" s="444"/>
      <c r="Q47" s="444"/>
      <c r="R47" s="444" t="s">
        <v>296</v>
      </c>
    </row>
    <row r="48" spans="1:18" s="1" customFormat="1" ht="47.25" x14ac:dyDescent="0.25">
      <c r="A48" s="14">
        <v>43</v>
      </c>
      <c r="B48" s="14">
        <v>223</v>
      </c>
      <c r="C48" s="14" t="s">
        <v>47</v>
      </c>
      <c r="D48" s="14" t="s">
        <v>718</v>
      </c>
      <c r="E48" s="15" t="s">
        <v>101</v>
      </c>
      <c r="F48" s="15" t="s">
        <v>323</v>
      </c>
      <c r="G48" s="15" t="s">
        <v>200</v>
      </c>
      <c r="H48" s="17">
        <v>31000</v>
      </c>
      <c r="I48" s="14" t="s">
        <v>337</v>
      </c>
      <c r="J48" s="14"/>
      <c r="K48" s="14"/>
      <c r="L48" s="14"/>
      <c r="M48" s="17">
        <v>31000</v>
      </c>
      <c r="N48" s="17"/>
      <c r="O48" s="444"/>
      <c r="P48" s="444"/>
      <c r="Q48" s="444"/>
      <c r="R48" s="444" t="s">
        <v>296</v>
      </c>
    </row>
    <row r="49" spans="1:20" s="1" customFormat="1" ht="31.5" x14ac:dyDescent="0.25">
      <c r="A49" s="14">
        <v>44</v>
      </c>
      <c r="B49" s="14">
        <v>226</v>
      </c>
      <c r="C49" s="14" t="s">
        <v>48</v>
      </c>
      <c r="D49" s="14"/>
      <c r="E49" s="15" t="s">
        <v>687</v>
      </c>
      <c r="F49" s="14"/>
      <c r="G49" s="15"/>
      <c r="H49" s="17"/>
      <c r="I49" s="14" t="s">
        <v>212</v>
      </c>
      <c r="J49" s="14"/>
      <c r="K49" s="14"/>
      <c r="L49" s="14"/>
      <c r="M49" s="17"/>
      <c r="N49" s="17"/>
      <c r="O49" s="444"/>
      <c r="P49" s="444"/>
      <c r="Q49" s="444"/>
      <c r="R49" s="444" t="s">
        <v>212</v>
      </c>
      <c r="S49" s="53"/>
      <c r="T49" s="53"/>
    </row>
    <row r="50" spans="1:20" ht="31.5" x14ac:dyDescent="0.25">
      <c r="A50" s="14">
        <v>45</v>
      </c>
      <c r="B50" s="14">
        <v>227</v>
      </c>
      <c r="C50" s="14" t="s">
        <v>361</v>
      </c>
      <c r="D50" s="14" t="s">
        <v>119</v>
      </c>
      <c r="E50" s="15" t="s">
        <v>362</v>
      </c>
      <c r="F50" s="14" t="s">
        <v>363</v>
      </c>
      <c r="G50" s="15" t="s">
        <v>364</v>
      </c>
      <c r="H50" s="17"/>
      <c r="I50" s="14"/>
      <c r="J50" s="14"/>
      <c r="K50" s="14"/>
      <c r="L50" s="14"/>
      <c r="M50" s="17"/>
      <c r="N50" s="17"/>
      <c r="O50" s="444"/>
      <c r="P50" s="444"/>
      <c r="Q50" s="444"/>
      <c r="R50" s="444" t="s">
        <v>296</v>
      </c>
    </row>
    <row r="51" spans="1:20" s="20" customFormat="1" ht="21.95" customHeight="1" x14ac:dyDescent="0.25">
      <c r="A51" s="14">
        <v>46</v>
      </c>
      <c r="B51" s="14">
        <v>228</v>
      </c>
      <c r="C51" s="14" t="s">
        <v>467</v>
      </c>
      <c r="D51" s="14" t="s">
        <v>345</v>
      </c>
      <c r="E51" s="15" t="s">
        <v>468</v>
      </c>
      <c r="F51" s="14">
        <v>606</v>
      </c>
      <c r="G51" s="15" t="s">
        <v>135</v>
      </c>
      <c r="H51" s="17">
        <v>1468</v>
      </c>
      <c r="I51" s="14" t="s">
        <v>469</v>
      </c>
      <c r="J51" s="14">
        <v>4</v>
      </c>
      <c r="K51" s="14" t="s">
        <v>469</v>
      </c>
      <c r="L51" s="14">
        <v>4</v>
      </c>
      <c r="M51" s="17">
        <v>1468</v>
      </c>
      <c r="N51" s="17"/>
      <c r="O51" s="444"/>
      <c r="P51" s="444"/>
      <c r="Q51" s="444"/>
      <c r="R51" s="444" t="s">
        <v>296</v>
      </c>
      <c r="S51" s="53"/>
      <c r="T51" s="53"/>
    </row>
    <row r="52" spans="1:20" s="20" customFormat="1" ht="21.95" customHeight="1" x14ac:dyDescent="0.25">
      <c r="A52" s="14">
        <v>47</v>
      </c>
      <c r="B52" s="14">
        <v>228</v>
      </c>
      <c r="C52" s="14" t="s">
        <v>467</v>
      </c>
      <c r="D52" s="14"/>
      <c r="E52" s="15" t="s">
        <v>468</v>
      </c>
      <c r="F52" s="14">
        <v>707</v>
      </c>
      <c r="G52" s="15" t="s">
        <v>135</v>
      </c>
      <c r="H52" s="17">
        <v>1391</v>
      </c>
      <c r="I52" s="14" t="s">
        <v>469</v>
      </c>
      <c r="J52" s="14">
        <v>4</v>
      </c>
      <c r="K52" s="14" t="s">
        <v>469</v>
      </c>
      <c r="L52" s="14">
        <v>4</v>
      </c>
      <c r="M52" s="17">
        <f>H52</f>
        <v>1391</v>
      </c>
      <c r="N52" s="17"/>
      <c r="O52" s="444"/>
      <c r="P52" s="444"/>
      <c r="Q52" s="444"/>
      <c r="R52" s="444" t="s">
        <v>296</v>
      </c>
      <c r="S52" s="53"/>
      <c r="T52" s="53"/>
    </row>
    <row r="53" spans="1:20" s="20" customFormat="1" ht="21.95" customHeight="1" x14ac:dyDescent="0.25">
      <c r="A53" s="14">
        <v>48</v>
      </c>
      <c r="B53" s="14">
        <v>228</v>
      </c>
      <c r="C53" s="14" t="s">
        <v>467</v>
      </c>
      <c r="D53" s="14"/>
      <c r="E53" s="15" t="s">
        <v>468</v>
      </c>
      <c r="F53" s="14">
        <v>909</v>
      </c>
      <c r="G53" s="15" t="s">
        <v>135</v>
      </c>
      <c r="H53" s="17">
        <v>1500</v>
      </c>
      <c r="I53" s="14" t="s">
        <v>469</v>
      </c>
      <c r="J53" s="14">
        <v>4</v>
      </c>
      <c r="K53" s="14" t="s">
        <v>686</v>
      </c>
      <c r="L53" s="14">
        <v>4</v>
      </c>
      <c r="M53" s="17">
        <f>H53</f>
        <v>1500</v>
      </c>
      <c r="N53" s="17"/>
      <c r="O53" s="444"/>
      <c r="P53" s="444"/>
      <c r="Q53" s="444"/>
      <c r="R53" s="444" t="s">
        <v>296</v>
      </c>
      <c r="S53" s="53"/>
      <c r="T53" s="53"/>
    </row>
    <row r="54" spans="1:20" s="3" customFormat="1" ht="32.1" customHeight="1" x14ac:dyDescent="0.25">
      <c r="A54" s="14">
        <v>49</v>
      </c>
      <c r="B54" s="14">
        <v>229</v>
      </c>
      <c r="C54" s="14" t="s">
        <v>315</v>
      </c>
      <c r="D54" s="14" t="s">
        <v>346</v>
      </c>
      <c r="E54" s="14" t="s">
        <v>314</v>
      </c>
      <c r="F54" s="15" t="s">
        <v>159</v>
      </c>
      <c r="G54" s="17">
        <v>7930</v>
      </c>
      <c r="H54" s="14" t="s">
        <v>226</v>
      </c>
      <c r="I54" s="14">
        <v>8</v>
      </c>
      <c r="J54" s="380" t="s">
        <v>871</v>
      </c>
      <c r="K54" s="14">
        <v>8</v>
      </c>
      <c r="L54" s="381">
        <v>7975.19</v>
      </c>
      <c r="M54" s="380" t="s">
        <v>957</v>
      </c>
      <c r="N54" s="430"/>
      <c r="O54" s="382" t="s">
        <v>1013</v>
      </c>
      <c r="P54" s="382" t="s">
        <v>612</v>
      </c>
      <c r="Q54" s="383" t="s">
        <v>1025</v>
      </c>
      <c r="R54" s="56" t="s">
        <v>945</v>
      </c>
      <c r="S54" s="53"/>
      <c r="T54" s="53"/>
    </row>
    <row r="55" spans="1:20" ht="47.25" x14ac:dyDescent="0.25">
      <c r="A55" s="14">
        <v>50</v>
      </c>
      <c r="B55" s="14">
        <v>231</v>
      </c>
      <c r="C55" s="14" t="s">
        <v>49</v>
      </c>
      <c r="D55" s="14" t="s">
        <v>346</v>
      </c>
      <c r="E55" s="15" t="s">
        <v>102</v>
      </c>
      <c r="F55" s="14" t="s">
        <v>202</v>
      </c>
      <c r="G55" s="15" t="s">
        <v>203</v>
      </c>
      <c r="H55" s="17">
        <v>683</v>
      </c>
      <c r="I55" s="14" t="s">
        <v>201</v>
      </c>
      <c r="J55" s="14">
        <v>2</v>
      </c>
      <c r="K55" s="14" t="s">
        <v>201</v>
      </c>
      <c r="L55" s="14">
        <v>2</v>
      </c>
      <c r="M55" s="17">
        <f>H55</f>
        <v>683</v>
      </c>
      <c r="N55" s="17"/>
      <c r="O55" s="444"/>
      <c r="P55" s="444"/>
      <c r="Q55" s="444"/>
      <c r="R55" s="444" t="s">
        <v>296</v>
      </c>
    </row>
    <row r="56" spans="1:20" ht="15.75" x14ac:dyDescent="0.25">
      <c r="A56" s="14">
        <v>51</v>
      </c>
      <c r="B56" s="14">
        <v>232</v>
      </c>
      <c r="C56" s="14" t="s">
        <v>263</v>
      </c>
      <c r="D56" s="14" t="s">
        <v>345</v>
      </c>
      <c r="E56" s="15" t="s">
        <v>267</v>
      </c>
      <c r="F56" s="14" t="s">
        <v>265</v>
      </c>
      <c r="G56" s="15" t="s">
        <v>266</v>
      </c>
      <c r="H56" s="17">
        <v>9940</v>
      </c>
      <c r="I56" s="14" t="s">
        <v>264</v>
      </c>
      <c r="J56" s="14">
        <v>11</v>
      </c>
      <c r="K56" s="14" t="s">
        <v>976</v>
      </c>
      <c r="L56" s="14">
        <v>11</v>
      </c>
      <c r="M56" s="17">
        <v>9940</v>
      </c>
      <c r="N56" s="17"/>
      <c r="O56" s="444"/>
      <c r="P56" s="444"/>
      <c r="Q56" s="444"/>
      <c r="R56" s="444" t="s">
        <v>296</v>
      </c>
    </row>
    <row r="57" spans="1:20" ht="15.75" x14ac:dyDescent="0.25">
      <c r="A57" s="14">
        <v>52</v>
      </c>
      <c r="B57" s="14">
        <v>233</v>
      </c>
      <c r="C57" s="14" t="s">
        <v>369</v>
      </c>
      <c r="D57" s="14" t="s">
        <v>347</v>
      </c>
      <c r="E57" s="15" t="s">
        <v>370</v>
      </c>
      <c r="F57" s="14" t="s">
        <v>371</v>
      </c>
      <c r="G57" s="15" t="s">
        <v>205</v>
      </c>
      <c r="H57" s="17">
        <v>8127</v>
      </c>
      <c r="I57" s="14" t="s">
        <v>372</v>
      </c>
      <c r="J57" s="14">
        <v>6</v>
      </c>
      <c r="K57" s="380" t="s">
        <v>1143</v>
      </c>
      <c r="L57" s="14">
        <v>6</v>
      </c>
      <c r="M57" s="381">
        <v>8127</v>
      </c>
      <c r="N57" s="453"/>
      <c r="O57" s="444"/>
      <c r="P57" s="444"/>
      <c r="Q57" s="444"/>
      <c r="R57" s="444"/>
    </row>
    <row r="58" spans="1:20" ht="31.5" x14ac:dyDescent="0.25">
      <c r="A58" s="14"/>
      <c r="B58" s="441">
        <v>234</v>
      </c>
      <c r="C58" s="441" t="s">
        <v>50</v>
      </c>
      <c r="D58" s="441" t="s">
        <v>1090</v>
      </c>
      <c r="E58" s="439" t="s">
        <v>103</v>
      </c>
      <c r="F58" s="441" t="s">
        <v>204</v>
      </c>
      <c r="G58" s="439" t="s">
        <v>205</v>
      </c>
      <c r="H58" s="442">
        <v>6025</v>
      </c>
      <c r="I58" s="441" t="s">
        <v>175</v>
      </c>
      <c r="J58" s="441">
        <v>5</v>
      </c>
      <c r="K58" s="312" t="s">
        <v>1087</v>
      </c>
      <c r="L58" s="441">
        <v>5</v>
      </c>
      <c r="M58" s="313">
        <v>6092</v>
      </c>
      <c r="N58" s="454" t="s">
        <v>1524</v>
      </c>
      <c r="O58" s="455" t="s">
        <v>945</v>
      </c>
      <c r="P58" s="455" t="s">
        <v>945</v>
      </c>
      <c r="Q58" s="455" t="s">
        <v>945</v>
      </c>
      <c r="R58" s="444"/>
    </row>
    <row r="59" spans="1:20" ht="15.75" x14ac:dyDescent="0.25">
      <c r="A59" s="14"/>
      <c r="B59" s="19">
        <v>239</v>
      </c>
      <c r="C59" s="441" t="s">
        <v>379</v>
      </c>
      <c r="D59" s="441" t="s">
        <v>1090</v>
      </c>
      <c r="E59" s="439" t="s">
        <v>380</v>
      </c>
      <c r="F59" s="441" t="s">
        <v>381</v>
      </c>
      <c r="G59" s="441" t="s">
        <v>382</v>
      </c>
      <c r="H59" s="442">
        <v>18750</v>
      </c>
      <c r="I59" s="441" t="s">
        <v>383</v>
      </c>
      <c r="J59" s="441">
        <v>11</v>
      </c>
      <c r="K59" s="312" t="s">
        <v>1136</v>
      </c>
      <c r="L59" s="441">
        <v>8</v>
      </c>
      <c r="M59" s="341">
        <v>13530.5</v>
      </c>
      <c r="N59" s="454" t="s">
        <v>1524</v>
      </c>
      <c r="O59" s="455" t="s">
        <v>945</v>
      </c>
      <c r="P59" s="455" t="s">
        <v>945</v>
      </c>
      <c r="Q59" s="455" t="s">
        <v>945</v>
      </c>
      <c r="R59" s="444"/>
    </row>
    <row r="60" spans="1:20" ht="31.5" x14ac:dyDescent="0.25">
      <c r="A60" s="14">
        <v>53</v>
      </c>
      <c r="B60" s="14">
        <v>240</v>
      </c>
      <c r="C60" s="14" t="s">
        <v>52</v>
      </c>
      <c r="D60" s="14" t="s">
        <v>346</v>
      </c>
      <c r="E60" s="15" t="s">
        <v>105</v>
      </c>
      <c r="F60" s="14" t="s">
        <v>280</v>
      </c>
      <c r="G60" s="15" t="s">
        <v>207</v>
      </c>
      <c r="H60" s="17">
        <v>1515</v>
      </c>
      <c r="I60" s="14" t="s">
        <v>281</v>
      </c>
      <c r="J60" s="14">
        <v>2</v>
      </c>
      <c r="K60" s="14" t="s">
        <v>281</v>
      </c>
      <c r="L60" s="14">
        <v>2</v>
      </c>
      <c r="M60" s="17">
        <f>H60</f>
        <v>1515</v>
      </c>
      <c r="N60" s="17"/>
      <c r="O60" s="444"/>
      <c r="P60" s="444"/>
      <c r="Q60" s="444"/>
      <c r="R60" s="444" t="s">
        <v>296</v>
      </c>
    </row>
    <row r="61" spans="1:20" ht="31.5" x14ac:dyDescent="0.25">
      <c r="A61" s="14">
        <v>54</v>
      </c>
      <c r="B61" s="14">
        <v>241</v>
      </c>
      <c r="C61" s="14" t="s">
        <v>53</v>
      </c>
      <c r="D61" s="14" t="s">
        <v>347</v>
      </c>
      <c r="E61" s="15" t="s">
        <v>106</v>
      </c>
      <c r="F61" s="15" t="s">
        <v>282</v>
      </c>
      <c r="G61" s="15" t="s">
        <v>208</v>
      </c>
      <c r="H61" s="17">
        <v>16846</v>
      </c>
      <c r="I61" s="14" t="s">
        <v>283</v>
      </c>
      <c r="J61" s="14">
        <v>13</v>
      </c>
      <c r="K61" s="14" t="s">
        <v>283</v>
      </c>
      <c r="L61" s="14">
        <v>13</v>
      </c>
      <c r="M61" s="17">
        <v>16846</v>
      </c>
      <c r="N61" s="17"/>
      <c r="O61" s="444"/>
      <c r="P61" s="444"/>
      <c r="Q61" s="444"/>
      <c r="R61" s="444" t="s">
        <v>296</v>
      </c>
    </row>
    <row r="62" spans="1:20" ht="31.5" x14ac:dyDescent="0.25">
      <c r="A62" s="14"/>
      <c r="B62" s="14">
        <v>242</v>
      </c>
      <c r="C62" s="14" t="s">
        <v>54</v>
      </c>
      <c r="D62" s="14"/>
      <c r="E62" s="15" t="s">
        <v>107</v>
      </c>
      <c r="F62" s="15"/>
      <c r="G62" s="15"/>
      <c r="H62" s="17"/>
      <c r="I62" s="14"/>
      <c r="J62" s="14"/>
      <c r="K62" s="14"/>
      <c r="L62" s="14"/>
      <c r="M62" s="17"/>
      <c r="N62" s="17"/>
      <c r="O62" s="444"/>
      <c r="P62" s="444"/>
      <c r="Q62" s="444"/>
      <c r="R62" s="444"/>
    </row>
    <row r="63" spans="1:20" s="16" customFormat="1" ht="21.95" customHeight="1" x14ac:dyDescent="0.25">
      <c r="A63" s="14">
        <v>55</v>
      </c>
      <c r="B63" s="14">
        <v>244</v>
      </c>
      <c r="C63" s="14" t="s">
        <v>386</v>
      </c>
      <c r="D63" s="14" t="s">
        <v>718</v>
      </c>
      <c r="E63" s="15" t="s">
        <v>387</v>
      </c>
      <c r="F63" s="14">
        <v>3320703</v>
      </c>
      <c r="G63" s="15" t="s">
        <v>388</v>
      </c>
      <c r="H63" s="17">
        <v>1012</v>
      </c>
      <c r="I63" s="14" t="s">
        <v>353</v>
      </c>
      <c r="J63" s="14">
        <v>2</v>
      </c>
      <c r="K63" s="14" t="s">
        <v>607</v>
      </c>
      <c r="L63" s="14">
        <v>2</v>
      </c>
      <c r="M63" s="17">
        <v>1012</v>
      </c>
      <c r="N63" s="17"/>
      <c r="O63" s="444"/>
      <c r="P63" s="444"/>
      <c r="Q63" s="444"/>
      <c r="R63" s="444" t="s">
        <v>296</v>
      </c>
    </row>
    <row r="64" spans="1:20" ht="31.5" x14ac:dyDescent="0.25">
      <c r="A64" s="14">
        <v>56</v>
      </c>
      <c r="B64" s="14">
        <v>245</v>
      </c>
      <c r="C64" s="14" t="s">
        <v>55</v>
      </c>
      <c r="D64" s="14"/>
      <c r="E64" s="15" t="s">
        <v>108</v>
      </c>
      <c r="F64" s="14">
        <v>3670339</v>
      </c>
      <c r="G64" s="15" t="s">
        <v>210</v>
      </c>
      <c r="H64" s="17">
        <v>2438</v>
      </c>
      <c r="I64" s="14" t="s">
        <v>209</v>
      </c>
      <c r="J64" s="14">
        <v>4</v>
      </c>
      <c r="K64" s="14" t="s">
        <v>209</v>
      </c>
      <c r="L64" s="14">
        <v>4</v>
      </c>
      <c r="M64" s="17">
        <f>H64</f>
        <v>2438</v>
      </c>
      <c r="N64" s="17"/>
      <c r="O64" s="444"/>
      <c r="P64" s="444"/>
      <c r="Q64" s="444"/>
      <c r="R64" s="444" t="s">
        <v>296</v>
      </c>
    </row>
    <row r="65" spans="1:20" ht="15.75" x14ac:dyDescent="0.25">
      <c r="A65" s="14"/>
      <c r="B65" s="441">
        <v>246</v>
      </c>
      <c r="C65" s="441" t="s">
        <v>389</v>
      </c>
      <c r="D65" s="441" t="s">
        <v>1090</v>
      </c>
      <c r="E65" s="439" t="s">
        <v>390</v>
      </c>
      <c r="F65" s="441">
        <v>6727717</v>
      </c>
      <c r="G65" s="439" t="s">
        <v>391</v>
      </c>
      <c r="H65" s="442">
        <v>22993</v>
      </c>
      <c r="I65" s="441" t="s">
        <v>630</v>
      </c>
      <c r="J65" s="441">
        <v>20</v>
      </c>
      <c r="K65" s="312" t="s">
        <v>1209</v>
      </c>
      <c r="L65" s="441">
        <v>21</v>
      </c>
      <c r="M65" s="313">
        <v>24163.43</v>
      </c>
      <c r="N65" s="454" t="s">
        <v>1524</v>
      </c>
      <c r="O65" s="455" t="s">
        <v>945</v>
      </c>
      <c r="P65" s="455" t="s">
        <v>945</v>
      </c>
      <c r="Q65" s="455" t="s">
        <v>945</v>
      </c>
      <c r="R65" s="444"/>
    </row>
    <row r="66" spans="1:20" s="20" customFormat="1" ht="33" customHeight="1" x14ac:dyDescent="0.25">
      <c r="A66" s="14">
        <v>57</v>
      </c>
      <c r="B66" s="14">
        <v>248</v>
      </c>
      <c r="C66" s="14" t="s">
        <v>392</v>
      </c>
      <c r="D66" s="14" t="s">
        <v>347</v>
      </c>
      <c r="E66" s="15" t="s">
        <v>393</v>
      </c>
      <c r="F66" s="14">
        <v>9140810</v>
      </c>
      <c r="G66" s="15" t="s">
        <v>394</v>
      </c>
      <c r="H66" s="17">
        <v>580</v>
      </c>
      <c r="I66" s="14" t="s">
        <v>395</v>
      </c>
      <c r="J66" s="14">
        <v>3</v>
      </c>
      <c r="K66" s="14" t="s">
        <v>722</v>
      </c>
      <c r="L66" s="14">
        <v>3</v>
      </c>
      <c r="M66" s="17">
        <v>580</v>
      </c>
      <c r="N66" s="17"/>
      <c r="O66" s="444"/>
      <c r="P66" s="444"/>
      <c r="Q66" s="444"/>
      <c r="R66" s="444" t="s">
        <v>296</v>
      </c>
      <c r="S66" s="53"/>
      <c r="T66" s="53"/>
    </row>
    <row r="67" spans="1:20" ht="33" customHeight="1" x14ac:dyDescent="0.25">
      <c r="A67" s="14"/>
      <c r="B67" s="441">
        <v>252</v>
      </c>
      <c r="C67" s="441" t="s">
        <v>402</v>
      </c>
      <c r="D67" s="441" t="s">
        <v>1090</v>
      </c>
      <c r="E67" s="439" t="s">
        <v>403</v>
      </c>
      <c r="F67" s="439">
        <v>6731228</v>
      </c>
      <c r="G67" s="439" t="s">
        <v>404</v>
      </c>
      <c r="H67" s="442">
        <v>40122</v>
      </c>
      <c r="I67" s="439" t="s">
        <v>405</v>
      </c>
      <c r="J67" s="439">
        <v>12</v>
      </c>
      <c r="K67" s="312" t="s">
        <v>1088</v>
      </c>
      <c r="L67" s="439">
        <v>10</v>
      </c>
      <c r="M67" s="342">
        <v>35873.56</v>
      </c>
      <c r="N67" s="458" t="s">
        <v>1525</v>
      </c>
      <c r="O67" s="455" t="s">
        <v>945</v>
      </c>
      <c r="P67" s="455"/>
      <c r="Q67" s="455"/>
      <c r="R67" s="444"/>
    </row>
    <row r="68" spans="1:20" ht="33" customHeight="1" x14ac:dyDescent="0.25">
      <c r="A68" s="14">
        <v>58</v>
      </c>
      <c r="B68" s="14">
        <v>254</v>
      </c>
      <c r="C68" s="14" t="s">
        <v>410</v>
      </c>
      <c r="D68" s="14" t="s">
        <v>347</v>
      </c>
      <c r="E68" s="15" t="s">
        <v>411</v>
      </c>
      <c r="F68" s="15">
        <v>3435420</v>
      </c>
      <c r="G68" s="15" t="s">
        <v>135</v>
      </c>
      <c r="H68" s="17">
        <v>723</v>
      </c>
      <c r="I68" s="15" t="s">
        <v>412</v>
      </c>
      <c r="J68" s="15">
        <v>2</v>
      </c>
      <c r="K68" s="380">
        <v>1</v>
      </c>
      <c r="L68" s="15">
        <v>1</v>
      </c>
      <c r="M68" s="456">
        <v>696</v>
      </c>
      <c r="N68" s="379"/>
      <c r="O68" s="444"/>
      <c r="P68" s="444"/>
      <c r="Q68" s="444"/>
      <c r="R68" s="444"/>
    </row>
    <row r="69" spans="1:20" ht="33" customHeight="1" x14ac:dyDescent="0.25">
      <c r="A69" s="14"/>
      <c r="B69" s="14">
        <v>256</v>
      </c>
      <c r="C69" s="14" t="s">
        <v>59</v>
      </c>
      <c r="D69" s="14"/>
      <c r="E69" s="429" t="s">
        <v>550</v>
      </c>
      <c r="F69" s="15"/>
      <c r="G69" s="15"/>
      <c r="H69" s="17"/>
      <c r="I69" s="15"/>
      <c r="J69" s="15"/>
      <c r="K69" s="430"/>
      <c r="L69" s="15"/>
      <c r="M69" s="427"/>
      <c r="N69" s="379"/>
      <c r="O69" s="444"/>
      <c r="P69" s="444"/>
      <c r="Q69" s="444"/>
      <c r="R69" s="444"/>
    </row>
    <row r="70" spans="1:20" ht="33" customHeight="1" x14ac:dyDescent="0.25">
      <c r="A70" s="14">
        <v>59</v>
      </c>
      <c r="B70" s="14">
        <v>257</v>
      </c>
      <c r="C70" s="14" t="s">
        <v>60</v>
      </c>
      <c r="D70" s="14" t="s">
        <v>345</v>
      </c>
      <c r="E70" s="15" t="s">
        <v>110</v>
      </c>
      <c r="F70" s="14" t="s">
        <v>214</v>
      </c>
      <c r="G70" s="15" t="s">
        <v>125</v>
      </c>
      <c r="H70" s="17">
        <v>24020</v>
      </c>
      <c r="I70" s="14" t="s">
        <v>213</v>
      </c>
      <c r="J70" s="14">
        <v>16</v>
      </c>
      <c r="K70" s="14" t="s">
        <v>1228</v>
      </c>
      <c r="L70" s="14">
        <v>15</v>
      </c>
      <c r="M70" s="457">
        <f>7417+1394*11+1362.74+1310.4</f>
        <v>25424.140000000003</v>
      </c>
      <c r="N70" s="17"/>
      <c r="O70" s="444"/>
      <c r="P70" s="444"/>
      <c r="Q70" s="444"/>
      <c r="R70" s="444"/>
    </row>
    <row r="71" spans="1:20" ht="33" customHeight="1" x14ac:dyDescent="0.25">
      <c r="A71" s="14">
        <v>60</v>
      </c>
      <c r="B71" s="14">
        <v>257</v>
      </c>
      <c r="C71" s="14" t="s">
        <v>61</v>
      </c>
      <c r="D71" s="14" t="s">
        <v>345</v>
      </c>
      <c r="E71" s="15" t="s">
        <v>111</v>
      </c>
      <c r="F71" s="14">
        <v>6731245</v>
      </c>
      <c r="G71" s="15" t="s">
        <v>216</v>
      </c>
      <c r="H71" s="17">
        <v>24253</v>
      </c>
      <c r="I71" s="14" t="s">
        <v>215</v>
      </c>
      <c r="J71" s="14">
        <v>12</v>
      </c>
      <c r="K71" s="14" t="s">
        <v>1361</v>
      </c>
      <c r="L71" s="14">
        <v>11</v>
      </c>
      <c r="M71" s="17">
        <v>23228</v>
      </c>
      <c r="N71" s="17"/>
      <c r="O71" s="444"/>
      <c r="P71" s="444"/>
      <c r="Q71" s="444"/>
      <c r="R71" s="444"/>
    </row>
    <row r="72" spans="1:20" ht="33" customHeight="1" x14ac:dyDescent="0.25">
      <c r="A72" s="14">
        <v>61</v>
      </c>
      <c r="B72" s="14">
        <v>260</v>
      </c>
      <c r="C72" s="14" t="s">
        <v>62</v>
      </c>
      <c r="D72" s="14" t="s">
        <v>345</v>
      </c>
      <c r="E72" s="15" t="s">
        <v>112</v>
      </c>
      <c r="F72" s="14">
        <v>3460608</v>
      </c>
      <c r="G72" s="15" t="s">
        <v>218</v>
      </c>
      <c r="H72" s="17">
        <v>47971</v>
      </c>
      <c r="I72" s="14" t="s">
        <v>217</v>
      </c>
      <c r="J72" s="14">
        <v>23</v>
      </c>
      <c r="K72" s="14" t="s">
        <v>217</v>
      </c>
      <c r="L72" s="14">
        <v>23</v>
      </c>
      <c r="M72" s="17">
        <f>H72</f>
        <v>47971</v>
      </c>
      <c r="N72" s="17"/>
      <c r="O72" s="444"/>
      <c r="P72" s="444"/>
      <c r="Q72" s="444"/>
      <c r="R72" s="444"/>
    </row>
    <row r="73" spans="1:20" s="3" customFormat="1" ht="21.95" customHeight="1" x14ac:dyDescent="0.25">
      <c r="A73" s="14">
        <v>62</v>
      </c>
      <c r="B73" s="14">
        <v>261</v>
      </c>
      <c r="C73" s="14" t="s">
        <v>418</v>
      </c>
      <c r="D73" s="14" t="s">
        <v>345</v>
      </c>
      <c r="E73" s="14" t="s">
        <v>419</v>
      </c>
      <c r="F73" s="15" t="s">
        <v>125</v>
      </c>
      <c r="G73" s="17">
        <v>18276</v>
      </c>
      <c r="H73" s="14" t="s">
        <v>420</v>
      </c>
      <c r="I73" s="14">
        <v>7</v>
      </c>
      <c r="J73" s="15" t="s">
        <v>850</v>
      </c>
      <c r="K73" s="14">
        <v>7</v>
      </c>
      <c r="L73" s="17">
        <v>18276</v>
      </c>
      <c r="M73" s="14"/>
      <c r="N73" s="14"/>
      <c r="O73" s="56"/>
      <c r="P73" s="56"/>
      <c r="Q73" s="444" t="s">
        <v>1275</v>
      </c>
      <c r="R73" s="444" t="s">
        <v>296</v>
      </c>
      <c r="S73" s="53"/>
      <c r="T73" s="53"/>
    </row>
    <row r="74" spans="1:20" ht="21.95" customHeight="1" x14ac:dyDescent="0.25">
      <c r="A74" s="14">
        <v>63</v>
      </c>
      <c r="B74" s="14">
        <v>262</v>
      </c>
      <c r="C74" s="14" t="s">
        <v>421</v>
      </c>
      <c r="D74" s="14" t="s">
        <v>470</v>
      </c>
      <c r="E74" s="15" t="s">
        <v>422</v>
      </c>
      <c r="F74" s="14"/>
      <c r="G74" s="15"/>
      <c r="H74" s="17"/>
      <c r="I74" s="14"/>
      <c r="J74" s="14"/>
      <c r="K74" s="14"/>
      <c r="L74" s="14"/>
      <c r="M74" s="17"/>
      <c r="N74" s="17"/>
      <c r="O74" s="444"/>
      <c r="P74" s="444"/>
      <c r="Q74" s="444"/>
      <c r="R74" s="444" t="s">
        <v>296</v>
      </c>
    </row>
    <row r="75" spans="1:20" s="20" customFormat="1" ht="31.5" x14ac:dyDescent="0.25">
      <c r="A75" s="14">
        <v>64</v>
      </c>
      <c r="B75" s="14">
        <v>263</v>
      </c>
      <c r="C75" s="14" t="s">
        <v>423</v>
      </c>
      <c r="D75" s="58" t="s">
        <v>347</v>
      </c>
      <c r="E75" s="15" t="s">
        <v>439</v>
      </c>
      <c r="F75" s="14">
        <v>63110692</v>
      </c>
      <c r="G75" s="15" t="s">
        <v>139</v>
      </c>
      <c r="H75" s="17">
        <v>1147</v>
      </c>
      <c r="I75" s="14" t="s">
        <v>412</v>
      </c>
      <c r="J75" s="14">
        <v>2</v>
      </c>
      <c r="K75" s="14" t="s">
        <v>723</v>
      </c>
      <c r="L75" s="14">
        <v>2</v>
      </c>
      <c r="M75" s="17">
        <v>1147</v>
      </c>
      <c r="N75" s="17"/>
      <c r="O75" s="444"/>
      <c r="P75" s="444"/>
      <c r="Q75" s="444"/>
      <c r="R75" s="444" t="s">
        <v>296</v>
      </c>
      <c r="S75" s="53"/>
      <c r="T75" s="53"/>
    </row>
    <row r="76" spans="1:20" s="1" customFormat="1" ht="31.5" x14ac:dyDescent="0.25">
      <c r="A76" s="14">
        <v>65</v>
      </c>
      <c r="B76" s="14">
        <v>264</v>
      </c>
      <c r="C76" s="14" t="s">
        <v>63</v>
      </c>
      <c r="D76" s="14" t="s">
        <v>346</v>
      </c>
      <c r="E76" s="15" t="s">
        <v>113</v>
      </c>
      <c r="F76" s="14" t="s">
        <v>220</v>
      </c>
      <c r="G76" s="15" t="s">
        <v>219</v>
      </c>
      <c r="H76" s="17">
        <v>3705</v>
      </c>
      <c r="I76" s="14" t="s">
        <v>285</v>
      </c>
      <c r="J76" s="14">
        <v>5</v>
      </c>
      <c r="K76" s="14" t="s">
        <v>772</v>
      </c>
      <c r="L76" s="14">
        <v>5</v>
      </c>
      <c r="M76" s="17">
        <v>3705</v>
      </c>
      <c r="N76" s="17"/>
      <c r="O76" s="444"/>
      <c r="P76" s="444"/>
      <c r="Q76" s="444"/>
      <c r="R76" s="444" t="s">
        <v>296</v>
      </c>
      <c r="S76" s="53"/>
      <c r="T76" s="53"/>
    </row>
    <row r="77" spans="1:20" s="1" customFormat="1" ht="21.95" customHeight="1" x14ac:dyDescent="0.25">
      <c r="A77" s="14">
        <v>66</v>
      </c>
      <c r="B77" s="14">
        <v>265</v>
      </c>
      <c r="C77" s="14" t="s">
        <v>64</v>
      </c>
      <c r="D77" s="14"/>
      <c r="E77" s="15" t="s">
        <v>114</v>
      </c>
      <c r="F77" s="14"/>
      <c r="G77" s="15"/>
      <c r="H77" s="17"/>
      <c r="I77" s="14"/>
      <c r="J77" s="14"/>
      <c r="K77" s="14"/>
      <c r="L77" s="14"/>
      <c r="M77" s="17"/>
      <c r="N77" s="17"/>
      <c r="O77" s="444"/>
      <c r="P77" s="444"/>
      <c r="Q77" s="444"/>
      <c r="R77" s="444" t="s">
        <v>296</v>
      </c>
      <c r="S77" s="53"/>
      <c r="T77" s="53"/>
    </row>
    <row r="78" spans="1:20" ht="21.95" customHeight="1" x14ac:dyDescent="0.25">
      <c r="A78" s="14">
        <v>67</v>
      </c>
      <c r="B78" s="14">
        <v>266</v>
      </c>
      <c r="C78" s="14" t="s">
        <v>424</v>
      </c>
      <c r="D78" s="14" t="s">
        <v>425</v>
      </c>
      <c r="E78" s="15" t="s">
        <v>77</v>
      </c>
      <c r="F78" s="14"/>
      <c r="G78" s="15"/>
      <c r="H78" s="17"/>
      <c r="I78" s="14"/>
      <c r="J78" s="14"/>
      <c r="K78" s="14"/>
      <c r="L78" s="14"/>
      <c r="M78" s="17"/>
      <c r="N78" s="17"/>
      <c r="O78" s="444"/>
      <c r="P78" s="444"/>
      <c r="Q78" s="444"/>
      <c r="R78" s="444" t="s">
        <v>296</v>
      </c>
    </row>
    <row r="79" spans="1:20" s="1" customFormat="1" ht="31.5" x14ac:dyDescent="0.25">
      <c r="A79" s="14">
        <v>68</v>
      </c>
      <c r="B79" s="14">
        <v>267</v>
      </c>
      <c r="C79" s="14" t="s">
        <v>65</v>
      </c>
      <c r="D79" s="14" t="s">
        <v>347</v>
      </c>
      <c r="E79" s="15" t="s">
        <v>115</v>
      </c>
      <c r="F79" s="14">
        <v>1367</v>
      </c>
      <c r="G79" s="15" t="s">
        <v>485</v>
      </c>
      <c r="H79" s="17">
        <v>1245</v>
      </c>
      <c r="I79" s="14" t="s">
        <v>486</v>
      </c>
      <c r="J79" s="14">
        <v>3</v>
      </c>
      <c r="K79" s="14" t="s">
        <v>486</v>
      </c>
      <c r="L79" s="14">
        <v>3</v>
      </c>
      <c r="M79" s="17">
        <f>H79</f>
        <v>1245</v>
      </c>
      <c r="N79" s="17"/>
      <c r="O79" s="444"/>
      <c r="P79" s="444"/>
      <c r="Q79" s="444"/>
      <c r="R79" s="444" t="s">
        <v>296</v>
      </c>
      <c r="S79" s="53"/>
      <c r="T79" s="53"/>
    </row>
    <row r="80" spans="1:20" ht="31.5" x14ac:dyDescent="0.25">
      <c r="A80" s="14">
        <v>69</v>
      </c>
      <c r="B80" s="14">
        <v>268</v>
      </c>
      <c r="C80" s="14" t="s">
        <v>426</v>
      </c>
      <c r="D80" s="14" t="s">
        <v>345</v>
      </c>
      <c r="E80" s="15" t="s">
        <v>427</v>
      </c>
      <c r="F80" s="14">
        <v>6453240</v>
      </c>
      <c r="G80" s="15" t="s">
        <v>159</v>
      </c>
      <c r="H80" s="17">
        <v>7147</v>
      </c>
      <c r="I80" s="14" t="s">
        <v>428</v>
      </c>
      <c r="J80" s="14">
        <v>8</v>
      </c>
      <c r="K80" s="14" t="s">
        <v>1144</v>
      </c>
      <c r="L80" s="14">
        <v>8</v>
      </c>
      <c r="M80" s="17">
        <v>7147</v>
      </c>
      <c r="N80" s="17"/>
      <c r="O80" s="444"/>
      <c r="P80" s="444"/>
      <c r="Q80" s="444"/>
      <c r="R80" s="444" t="s">
        <v>296</v>
      </c>
    </row>
    <row r="81" spans="1:20" ht="31.5" x14ac:dyDescent="0.25">
      <c r="A81" s="14">
        <v>70</v>
      </c>
      <c r="B81" s="14">
        <v>270</v>
      </c>
      <c r="C81" s="14" t="s">
        <v>66</v>
      </c>
      <c r="D81" s="14" t="s">
        <v>347</v>
      </c>
      <c r="E81" s="15" t="s">
        <v>116</v>
      </c>
      <c r="F81" s="14" t="s">
        <v>221</v>
      </c>
      <c r="G81" s="15" t="s">
        <v>125</v>
      </c>
      <c r="H81" s="17">
        <v>24342</v>
      </c>
      <c r="I81" s="14" t="s">
        <v>869</v>
      </c>
      <c r="J81" s="14">
        <v>20</v>
      </c>
      <c r="K81" s="384" t="s">
        <v>868</v>
      </c>
      <c r="L81" s="14">
        <v>20</v>
      </c>
      <c r="M81" s="381">
        <v>24000</v>
      </c>
      <c r="N81" s="453"/>
      <c r="O81" s="444" t="s">
        <v>1078</v>
      </c>
      <c r="P81" s="444" t="s">
        <v>1078</v>
      </c>
      <c r="Q81" s="444" t="s">
        <v>1275</v>
      </c>
      <c r="R81" s="444" t="s">
        <v>296</v>
      </c>
    </row>
    <row r="82" spans="1:20" s="1" customFormat="1" ht="15.75" x14ac:dyDescent="0.25">
      <c r="A82" s="14">
        <v>71</v>
      </c>
      <c r="B82" s="14">
        <v>271</v>
      </c>
      <c r="C82" s="14" t="s">
        <v>67</v>
      </c>
      <c r="D82" s="14" t="s">
        <v>347</v>
      </c>
      <c r="E82" s="15" t="s">
        <v>638</v>
      </c>
      <c r="F82" s="14" t="s">
        <v>308</v>
      </c>
      <c r="G82" s="68" t="s">
        <v>223</v>
      </c>
      <c r="H82" s="17">
        <v>21500</v>
      </c>
      <c r="I82" s="14" t="s">
        <v>309</v>
      </c>
      <c r="J82" s="14">
        <v>10</v>
      </c>
      <c r="K82" s="14" t="s">
        <v>572</v>
      </c>
      <c r="L82" s="14">
        <v>6</v>
      </c>
      <c r="M82" s="17">
        <v>17499</v>
      </c>
      <c r="N82" s="17"/>
      <c r="O82" s="444"/>
      <c r="P82" s="444"/>
      <c r="Q82" s="444"/>
      <c r="R82" s="444" t="s">
        <v>296</v>
      </c>
      <c r="S82" s="53"/>
      <c r="T82" s="53"/>
    </row>
    <row r="83" spans="1:20" ht="15.75" x14ac:dyDescent="0.25">
      <c r="A83" s="14">
        <v>72</v>
      </c>
      <c r="B83" s="14">
        <v>271</v>
      </c>
      <c r="C83" s="14" t="s">
        <v>67</v>
      </c>
      <c r="D83" s="14" t="s">
        <v>347</v>
      </c>
      <c r="E83" s="15" t="s">
        <v>637</v>
      </c>
      <c r="F83" s="14"/>
      <c r="G83" s="68"/>
      <c r="H83" s="17">
        <v>25269</v>
      </c>
      <c r="I83" s="14"/>
      <c r="J83" s="14"/>
      <c r="K83" s="14"/>
      <c r="L83" s="14"/>
      <c r="M83" s="17"/>
      <c r="N83" s="17"/>
      <c r="O83" s="444"/>
      <c r="P83" s="444"/>
      <c r="Q83" s="444"/>
      <c r="R83" s="444" t="s">
        <v>296</v>
      </c>
    </row>
    <row r="84" spans="1:20" s="1" customFormat="1" ht="15.75" x14ac:dyDescent="0.25">
      <c r="A84" s="14">
        <v>73</v>
      </c>
      <c r="B84" s="14">
        <v>271</v>
      </c>
      <c r="C84" s="14" t="s">
        <v>311</v>
      </c>
      <c r="D84" s="14" t="s">
        <v>347</v>
      </c>
      <c r="E84" s="15" t="s">
        <v>257</v>
      </c>
      <c r="F84" s="14" t="s">
        <v>310</v>
      </c>
      <c r="G84" s="68" t="s">
        <v>223</v>
      </c>
      <c r="H84" s="17">
        <v>25269</v>
      </c>
      <c r="I84" s="14" t="s">
        <v>222</v>
      </c>
      <c r="J84" s="14">
        <v>10</v>
      </c>
      <c r="K84" s="14" t="s">
        <v>222</v>
      </c>
      <c r="L84" s="14">
        <v>10</v>
      </c>
      <c r="M84" s="17">
        <v>25269</v>
      </c>
      <c r="N84" s="17"/>
      <c r="O84" s="444"/>
      <c r="P84" s="444"/>
      <c r="Q84" s="444"/>
      <c r="R84" s="444" t="s">
        <v>296</v>
      </c>
      <c r="S84" s="53"/>
      <c r="T84" s="53"/>
    </row>
    <row r="85" spans="1:20" ht="31.5" x14ac:dyDescent="0.25">
      <c r="A85" s="14">
        <v>74</v>
      </c>
      <c r="B85" s="14">
        <v>272</v>
      </c>
      <c r="C85" s="14" t="s">
        <v>440</v>
      </c>
      <c r="D85" s="14" t="s">
        <v>347</v>
      </c>
      <c r="E85" s="15" t="s">
        <v>437</v>
      </c>
      <c r="F85" s="14" t="s">
        <v>438</v>
      </c>
      <c r="G85" s="15" t="s">
        <v>266</v>
      </c>
      <c r="H85" s="17">
        <v>12440</v>
      </c>
      <c r="I85" s="14" t="s">
        <v>1011</v>
      </c>
      <c r="J85" s="14">
        <v>11</v>
      </c>
      <c r="K85" s="380" t="s">
        <v>1127</v>
      </c>
      <c r="L85" s="14">
        <v>10</v>
      </c>
      <c r="M85" s="381">
        <v>11200</v>
      </c>
      <c r="N85" s="453"/>
      <c r="O85" s="444"/>
      <c r="P85" s="444"/>
      <c r="Q85" s="444"/>
      <c r="R85" s="444"/>
    </row>
    <row r="86" spans="1:20" ht="15.75" x14ac:dyDescent="0.25">
      <c r="A86" s="14">
        <v>75</v>
      </c>
      <c r="B86" s="14">
        <v>276</v>
      </c>
      <c r="C86" s="14" t="s">
        <v>342</v>
      </c>
      <c r="D86" s="14" t="s">
        <v>347</v>
      </c>
      <c r="E86" s="15" t="s">
        <v>343</v>
      </c>
      <c r="F86" s="14">
        <v>8142256</v>
      </c>
      <c r="G86" s="15" t="s">
        <v>344</v>
      </c>
      <c r="H86" s="17">
        <v>4740</v>
      </c>
      <c r="I86" s="14" t="s">
        <v>471</v>
      </c>
      <c r="J86" s="14"/>
      <c r="K86" s="385"/>
      <c r="L86" s="14"/>
      <c r="M86" s="386">
        <v>4740</v>
      </c>
      <c r="N86" s="427"/>
      <c r="O86" s="444" t="s">
        <v>1078</v>
      </c>
      <c r="P86" s="444" t="s">
        <v>1078</v>
      </c>
      <c r="Q86" s="444" t="s">
        <v>1275</v>
      </c>
      <c r="R86" s="444" t="s">
        <v>296</v>
      </c>
    </row>
    <row r="87" spans="1:20" ht="31.5" x14ac:dyDescent="0.25">
      <c r="A87" s="14">
        <v>76</v>
      </c>
      <c r="B87" s="14">
        <v>277</v>
      </c>
      <c r="C87" s="14" t="s">
        <v>574</v>
      </c>
      <c r="D87" s="14" t="s">
        <v>688</v>
      </c>
      <c r="E87" s="15" t="s">
        <v>575</v>
      </c>
      <c r="F87" s="14">
        <v>78</v>
      </c>
      <c r="G87" s="15" t="s">
        <v>576</v>
      </c>
      <c r="H87" s="17">
        <f>1022+1015+623</f>
        <v>2660</v>
      </c>
      <c r="I87" s="14" t="s">
        <v>577</v>
      </c>
      <c r="J87" s="14">
        <v>3</v>
      </c>
      <c r="K87" s="14"/>
      <c r="L87" s="14">
        <v>1</v>
      </c>
      <c r="M87" s="17"/>
      <c r="N87" s="17"/>
      <c r="O87" s="444"/>
      <c r="P87" s="444"/>
      <c r="Q87" s="444"/>
      <c r="R87" s="444" t="s">
        <v>296</v>
      </c>
    </row>
    <row r="88" spans="1:20" ht="15.75" x14ac:dyDescent="0.25">
      <c r="A88" s="14">
        <v>77</v>
      </c>
      <c r="B88" s="14">
        <v>278</v>
      </c>
      <c r="C88" s="14" t="s">
        <v>68</v>
      </c>
      <c r="D88" s="14" t="s">
        <v>347</v>
      </c>
      <c r="E88" s="15" t="s">
        <v>117</v>
      </c>
      <c r="F88" s="14">
        <v>6241285</v>
      </c>
      <c r="G88" s="15" t="s">
        <v>224</v>
      </c>
      <c r="H88" s="17">
        <v>8120</v>
      </c>
      <c r="I88" s="14" t="s">
        <v>286</v>
      </c>
      <c r="J88" s="14">
        <v>8</v>
      </c>
      <c r="K88" s="385" t="s">
        <v>286</v>
      </c>
      <c r="L88" s="14">
        <v>8</v>
      </c>
      <c r="M88" s="386">
        <v>8120</v>
      </c>
      <c r="N88" s="427"/>
      <c r="O88" s="444"/>
      <c r="P88" s="444"/>
      <c r="Q88" s="444"/>
      <c r="R88" s="444"/>
    </row>
    <row r="89" spans="1:20" ht="31.5" x14ac:dyDescent="0.25">
      <c r="A89" s="14">
        <v>78</v>
      </c>
      <c r="B89" s="14">
        <v>279</v>
      </c>
      <c r="C89" s="14" t="s">
        <v>229</v>
      </c>
      <c r="D89" s="14" t="s">
        <v>478</v>
      </c>
      <c r="E89" s="15" t="s">
        <v>239</v>
      </c>
      <c r="F89" s="14">
        <v>321</v>
      </c>
      <c r="G89" s="15" t="s">
        <v>238</v>
      </c>
      <c r="H89" s="17">
        <v>39696</v>
      </c>
      <c r="I89" s="14" t="s">
        <v>478</v>
      </c>
      <c r="J89" s="14">
        <v>7</v>
      </c>
      <c r="K89" s="14"/>
      <c r="L89" s="14"/>
      <c r="M89" s="17"/>
      <c r="N89" s="17"/>
      <c r="O89" s="444"/>
      <c r="P89" s="444"/>
      <c r="Q89" s="444"/>
      <c r="R89" s="444" t="s">
        <v>296</v>
      </c>
    </row>
    <row r="90" spans="1:20" ht="31.5" x14ac:dyDescent="0.25">
      <c r="A90" s="14">
        <v>79</v>
      </c>
      <c r="B90" s="14">
        <v>280</v>
      </c>
      <c r="C90" s="14" t="s">
        <v>230</v>
      </c>
      <c r="D90" s="14" t="s">
        <v>345</v>
      </c>
      <c r="E90" s="15" t="s">
        <v>241</v>
      </c>
      <c r="F90" s="14" t="s">
        <v>240</v>
      </c>
      <c r="G90" s="15" t="s">
        <v>205</v>
      </c>
      <c r="H90" s="17">
        <v>8719</v>
      </c>
      <c r="I90" s="14" t="s">
        <v>288</v>
      </c>
      <c r="J90" s="14">
        <v>6</v>
      </c>
      <c r="K90" s="14" t="s">
        <v>1128</v>
      </c>
      <c r="L90" s="14">
        <v>6</v>
      </c>
      <c r="M90" s="17">
        <v>8719</v>
      </c>
      <c r="N90" s="17"/>
      <c r="O90" s="444"/>
      <c r="P90" s="444"/>
      <c r="Q90" s="444"/>
      <c r="R90" s="444"/>
    </row>
    <row r="91" spans="1:20" ht="21.95" customHeight="1" x14ac:dyDescent="0.25">
      <c r="A91" s="14">
        <v>80</v>
      </c>
      <c r="B91" s="40">
        <v>290</v>
      </c>
      <c r="C91" s="40" t="s">
        <v>449</v>
      </c>
      <c r="D91" s="40" t="s">
        <v>347</v>
      </c>
      <c r="E91" s="56" t="s">
        <v>450</v>
      </c>
      <c r="F91" s="14">
        <v>6316642</v>
      </c>
      <c r="G91" s="15" t="s">
        <v>547</v>
      </c>
      <c r="H91" s="17">
        <v>1353</v>
      </c>
      <c r="I91" s="14" t="s">
        <v>462</v>
      </c>
      <c r="J91" s="14">
        <v>3</v>
      </c>
      <c r="K91" s="14" t="s">
        <v>462</v>
      </c>
      <c r="L91" s="14">
        <v>1</v>
      </c>
      <c r="M91" s="17">
        <f>H91</f>
        <v>1353</v>
      </c>
      <c r="N91" s="17"/>
      <c r="O91" s="444"/>
      <c r="P91" s="444"/>
      <c r="Q91" s="444"/>
      <c r="R91" s="444" t="s">
        <v>296</v>
      </c>
    </row>
    <row r="92" spans="1:20" s="20" customFormat="1" ht="30.75" customHeight="1" x14ac:dyDescent="0.25">
      <c r="A92" s="14">
        <v>81</v>
      </c>
      <c r="B92" s="40">
        <v>291</v>
      </c>
      <c r="C92" s="40" t="s">
        <v>491</v>
      </c>
      <c r="D92" s="14" t="s">
        <v>346</v>
      </c>
      <c r="E92" s="56" t="s">
        <v>632</v>
      </c>
      <c r="F92" s="14" t="s">
        <v>510</v>
      </c>
      <c r="G92" s="15" t="s">
        <v>511</v>
      </c>
      <c r="H92" s="17">
        <f>561+666</f>
        <v>1227</v>
      </c>
      <c r="I92" s="14" t="s">
        <v>484</v>
      </c>
      <c r="J92" s="14">
        <v>2</v>
      </c>
      <c r="K92" s="14" t="s">
        <v>836</v>
      </c>
      <c r="L92" s="14">
        <v>2</v>
      </c>
      <c r="M92" s="17">
        <v>1227</v>
      </c>
      <c r="N92" s="17"/>
      <c r="O92" s="444"/>
      <c r="P92" s="444"/>
      <c r="Q92" s="444"/>
      <c r="R92" s="444" t="s">
        <v>296</v>
      </c>
      <c r="S92" s="53"/>
      <c r="T92" s="53"/>
    </row>
    <row r="93" spans="1:20" ht="30.75" customHeight="1" x14ac:dyDescent="0.25">
      <c r="A93" s="422"/>
      <c r="B93" s="411">
        <v>293</v>
      </c>
      <c r="C93" s="411" t="s">
        <v>493</v>
      </c>
      <c r="D93" s="14" t="s">
        <v>345</v>
      </c>
      <c r="E93" s="56" t="s">
        <v>661</v>
      </c>
      <c r="F93" s="14">
        <v>3470937</v>
      </c>
      <c r="G93" s="15"/>
      <c r="H93" s="17">
        <f>212+251</f>
        <v>463</v>
      </c>
      <c r="I93" s="14" t="s">
        <v>353</v>
      </c>
      <c r="J93" s="14">
        <v>2</v>
      </c>
      <c r="K93" s="14" t="s">
        <v>1229</v>
      </c>
      <c r="L93" s="14">
        <v>2</v>
      </c>
      <c r="M93" s="17">
        <v>463</v>
      </c>
      <c r="N93" s="17"/>
      <c r="O93" s="444"/>
      <c r="P93" s="444"/>
      <c r="Q93" s="444"/>
      <c r="R93" s="444"/>
    </row>
    <row r="94" spans="1:20" s="20" customFormat="1" ht="15.75" x14ac:dyDescent="0.25">
      <c r="A94" s="585">
        <v>82</v>
      </c>
      <c r="B94" s="40" t="s">
        <v>515</v>
      </c>
      <c r="C94" s="40" t="s">
        <v>494</v>
      </c>
      <c r="D94" s="14" t="s">
        <v>688</v>
      </c>
      <c r="E94" s="56" t="s">
        <v>522</v>
      </c>
      <c r="F94" s="14">
        <v>3342413</v>
      </c>
      <c r="G94" s="15" t="s">
        <v>520</v>
      </c>
      <c r="H94" s="17">
        <v>9787</v>
      </c>
      <c r="I94" s="14" t="s">
        <v>521</v>
      </c>
      <c r="J94" s="14">
        <v>10</v>
      </c>
      <c r="K94" s="14" t="s">
        <v>837</v>
      </c>
      <c r="L94" s="14">
        <v>10</v>
      </c>
      <c r="M94" s="17">
        <v>9787</v>
      </c>
      <c r="N94" s="17"/>
      <c r="O94" s="444"/>
      <c r="P94" s="444"/>
      <c r="Q94" s="444"/>
      <c r="R94" s="444" t="s">
        <v>296</v>
      </c>
      <c r="S94" s="53"/>
      <c r="T94" s="53"/>
    </row>
    <row r="95" spans="1:20" s="20" customFormat="1" ht="15.75" x14ac:dyDescent="0.25">
      <c r="A95" s="586"/>
      <c r="B95" s="40" t="s">
        <v>516</v>
      </c>
      <c r="C95" s="40" t="s">
        <v>494</v>
      </c>
      <c r="D95" s="14" t="s">
        <v>688</v>
      </c>
      <c r="E95" s="56" t="s">
        <v>523</v>
      </c>
      <c r="F95" s="14">
        <v>3342417</v>
      </c>
      <c r="G95" s="15" t="s">
        <v>520</v>
      </c>
      <c r="H95" s="17">
        <v>9556</v>
      </c>
      <c r="I95" s="14" t="s">
        <v>521</v>
      </c>
      <c r="J95" s="14">
        <v>10</v>
      </c>
      <c r="K95" s="14" t="s">
        <v>820</v>
      </c>
      <c r="L95" s="14">
        <v>10</v>
      </c>
      <c r="M95" s="17">
        <v>9556</v>
      </c>
      <c r="N95" s="17"/>
      <c r="O95" s="444"/>
      <c r="P95" s="444"/>
      <c r="Q95" s="444"/>
      <c r="R95" s="444" t="s">
        <v>296</v>
      </c>
      <c r="S95" s="53"/>
      <c r="T95" s="53"/>
    </row>
    <row r="96" spans="1:20" s="3" customFormat="1" ht="30" customHeight="1" x14ac:dyDescent="0.25">
      <c r="A96" s="576">
        <v>83</v>
      </c>
      <c r="B96" s="40" t="s">
        <v>517</v>
      </c>
      <c r="C96" s="40" t="s">
        <v>494</v>
      </c>
      <c r="D96" s="14" t="s">
        <v>688</v>
      </c>
      <c r="E96" s="56" t="s">
        <v>524</v>
      </c>
      <c r="F96" s="14">
        <v>3342739</v>
      </c>
      <c r="G96" s="15" t="s">
        <v>520</v>
      </c>
      <c r="H96" s="17">
        <v>8343</v>
      </c>
      <c r="I96" s="14" t="s">
        <v>521</v>
      </c>
      <c r="J96" s="14">
        <v>10</v>
      </c>
      <c r="K96" s="14" t="s">
        <v>837</v>
      </c>
      <c r="L96" s="14">
        <v>10</v>
      </c>
      <c r="M96" s="17">
        <v>8343</v>
      </c>
      <c r="N96" s="17"/>
      <c r="O96" s="444"/>
      <c r="P96" s="444"/>
      <c r="Q96" s="444"/>
      <c r="R96" s="444" t="s">
        <v>296</v>
      </c>
    </row>
    <row r="97" spans="1:18" s="3" customFormat="1" ht="30" customHeight="1" x14ac:dyDescent="0.25">
      <c r="A97" s="576"/>
      <c r="B97" s="40" t="s">
        <v>518</v>
      </c>
      <c r="C97" s="40" t="s">
        <v>494</v>
      </c>
      <c r="D97" s="14" t="s">
        <v>688</v>
      </c>
      <c r="E97" s="56" t="s">
        <v>525</v>
      </c>
      <c r="F97" s="14">
        <v>3342740</v>
      </c>
      <c r="G97" s="15" t="s">
        <v>520</v>
      </c>
      <c r="H97" s="17">
        <v>8377</v>
      </c>
      <c r="I97" s="14" t="s">
        <v>521</v>
      </c>
      <c r="J97" s="14">
        <v>10</v>
      </c>
      <c r="K97" s="14" t="s">
        <v>837</v>
      </c>
      <c r="L97" s="14">
        <v>10</v>
      </c>
      <c r="M97" s="17">
        <v>8377</v>
      </c>
      <c r="N97" s="17"/>
      <c r="O97" s="444"/>
      <c r="P97" s="444"/>
      <c r="Q97" s="444"/>
      <c r="R97" s="444" t="s">
        <v>296</v>
      </c>
    </row>
    <row r="98" spans="1:18" s="3" customFormat="1" ht="20.100000000000001" customHeight="1" x14ac:dyDescent="0.25">
      <c r="A98" s="576"/>
      <c r="B98" s="40" t="s">
        <v>519</v>
      </c>
      <c r="C98" s="40" t="s">
        <v>494</v>
      </c>
      <c r="D98" s="14" t="s">
        <v>688</v>
      </c>
      <c r="E98" s="56" t="s">
        <v>526</v>
      </c>
      <c r="F98" s="14">
        <v>3342938</v>
      </c>
      <c r="G98" s="15" t="s">
        <v>520</v>
      </c>
      <c r="H98" s="17">
        <v>8271</v>
      </c>
      <c r="I98" s="14" t="s">
        <v>527</v>
      </c>
      <c r="J98" s="14">
        <v>10</v>
      </c>
      <c r="K98" s="14" t="s">
        <v>837</v>
      </c>
      <c r="L98" s="14">
        <v>10</v>
      </c>
      <c r="M98" s="17">
        <v>8271</v>
      </c>
      <c r="N98" s="17"/>
      <c r="O98" s="444"/>
      <c r="P98" s="444"/>
      <c r="Q98" s="444"/>
      <c r="R98" s="444" t="s">
        <v>296</v>
      </c>
    </row>
    <row r="99" spans="1:18" s="3" customFormat="1" ht="20.100000000000001" customHeight="1" x14ac:dyDescent="0.25">
      <c r="A99" s="299">
        <v>84</v>
      </c>
      <c r="B99" s="299">
        <v>299</v>
      </c>
      <c r="C99" s="299" t="s">
        <v>448</v>
      </c>
      <c r="D99" s="14" t="s">
        <v>1084</v>
      </c>
      <c r="E99" s="56" t="s">
        <v>507</v>
      </c>
      <c r="F99" s="14">
        <v>3323734</v>
      </c>
      <c r="G99" s="15" t="s">
        <v>460</v>
      </c>
      <c r="H99" s="17">
        <v>369</v>
      </c>
      <c r="I99" s="14" t="s">
        <v>295</v>
      </c>
      <c r="J99" s="14">
        <v>1</v>
      </c>
      <c r="K99" s="14" t="s">
        <v>295</v>
      </c>
      <c r="L99" s="14">
        <v>1</v>
      </c>
      <c r="M99" s="17">
        <v>369</v>
      </c>
      <c r="N99" s="17"/>
      <c r="O99" s="444"/>
      <c r="P99" s="444"/>
      <c r="Q99" s="444"/>
      <c r="R99" s="444" t="s">
        <v>296</v>
      </c>
    </row>
    <row r="100" spans="1:18" s="3" customFormat="1" ht="20.100000000000001" customHeight="1" x14ac:dyDescent="0.25">
      <c r="A100" s="425"/>
      <c r="B100" s="425">
        <v>308</v>
      </c>
      <c r="C100" s="425" t="s">
        <v>552</v>
      </c>
      <c r="D100" s="14" t="s">
        <v>560</v>
      </c>
      <c r="E100" s="56" t="s">
        <v>553</v>
      </c>
      <c r="F100" s="14"/>
      <c r="G100" s="15"/>
      <c r="H100" s="17"/>
      <c r="I100" s="14"/>
      <c r="J100" s="14"/>
      <c r="K100" s="14"/>
      <c r="L100" s="14"/>
      <c r="M100" s="17"/>
      <c r="N100" s="17"/>
      <c r="O100" s="444"/>
      <c r="P100" s="444"/>
      <c r="Q100" s="444"/>
      <c r="R100" s="444"/>
    </row>
    <row r="101" spans="1:18" s="3" customFormat="1" ht="20.100000000000001" customHeight="1" x14ac:dyDescent="0.25">
      <c r="A101" s="425"/>
      <c r="B101" s="425">
        <v>310</v>
      </c>
      <c r="C101" s="425" t="s">
        <v>556</v>
      </c>
      <c r="D101" s="14" t="s">
        <v>831</v>
      </c>
      <c r="E101" s="56" t="s">
        <v>603</v>
      </c>
      <c r="F101" s="14"/>
      <c r="G101" s="15" t="s">
        <v>367</v>
      </c>
      <c r="H101" s="17">
        <v>16239</v>
      </c>
      <c r="I101" s="14" t="s">
        <v>565</v>
      </c>
      <c r="J101" s="14">
        <v>13</v>
      </c>
      <c r="K101" s="14"/>
      <c r="L101" s="14"/>
      <c r="M101" s="17"/>
      <c r="N101" s="17"/>
      <c r="O101" s="444"/>
      <c r="P101" s="444"/>
      <c r="Q101" s="444"/>
      <c r="R101" s="444"/>
    </row>
    <row r="102" spans="1:18" ht="20.100000000000001" customHeight="1" x14ac:dyDescent="0.25">
      <c r="A102" s="411">
        <v>85</v>
      </c>
      <c r="B102" s="425">
        <v>312</v>
      </c>
      <c r="C102" s="425" t="s">
        <v>599</v>
      </c>
      <c r="D102" s="14"/>
      <c r="E102" s="56" t="s">
        <v>600</v>
      </c>
      <c r="F102" s="14">
        <v>95661</v>
      </c>
      <c r="G102" s="15" t="s">
        <v>131</v>
      </c>
      <c r="H102" s="17">
        <v>319</v>
      </c>
      <c r="I102" s="14" t="s">
        <v>601</v>
      </c>
      <c r="J102" s="14">
        <v>1</v>
      </c>
      <c r="K102" s="14"/>
      <c r="L102" s="14"/>
      <c r="M102" s="17"/>
      <c r="N102" s="17"/>
      <c r="O102" s="444"/>
      <c r="P102" s="444"/>
      <c r="Q102" s="444"/>
      <c r="R102" s="444" t="s">
        <v>296</v>
      </c>
    </row>
    <row r="103" spans="1:18" s="16" customFormat="1" ht="20.100000000000001" customHeight="1" x14ac:dyDescent="0.25">
      <c r="A103" s="425">
        <v>86</v>
      </c>
      <c r="B103" s="425">
        <v>316</v>
      </c>
      <c r="C103" s="425" t="s">
        <v>582</v>
      </c>
      <c r="D103" s="425"/>
      <c r="E103" s="56" t="s">
        <v>588</v>
      </c>
      <c r="F103" s="14">
        <v>3660717</v>
      </c>
      <c r="G103" s="15" t="s">
        <v>573</v>
      </c>
      <c r="H103" s="17">
        <f>118+113</f>
        <v>231</v>
      </c>
      <c r="I103" s="14" t="s">
        <v>589</v>
      </c>
      <c r="J103" s="14">
        <v>2</v>
      </c>
      <c r="K103" s="14" t="s">
        <v>589</v>
      </c>
      <c r="L103" s="14">
        <v>2</v>
      </c>
      <c r="M103" s="17">
        <f>118+113</f>
        <v>231</v>
      </c>
      <c r="N103" s="17"/>
      <c r="O103" s="444"/>
      <c r="P103" s="444"/>
      <c r="Q103" s="444"/>
      <c r="R103" s="444" t="s">
        <v>296</v>
      </c>
    </row>
    <row r="104" spans="1:18" ht="20.100000000000001" customHeight="1" x14ac:dyDescent="0.25">
      <c r="A104" s="425">
        <v>87</v>
      </c>
      <c r="B104" s="425">
        <v>337</v>
      </c>
      <c r="C104" s="425" t="s">
        <v>675</v>
      </c>
      <c r="D104" s="425" t="s">
        <v>347</v>
      </c>
      <c r="E104" s="56" t="s">
        <v>709</v>
      </c>
      <c r="F104" s="14">
        <v>3435393</v>
      </c>
      <c r="G104" s="15" t="s">
        <v>683</v>
      </c>
      <c r="H104" s="17">
        <f>418+523+255</f>
        <v>1196</v>
      </c>
      <c r="I104" s="14" t="s">
        <v>169</v>
      </c>
      <c r="J104" s="14">
        <v>3</v>
      </c>
      <c r="K104" s="378" t="s">
        <v>1129</v>
      </c>
      <c r="L104" s="14">
        <v>3</v>
      </c>
      <c r="M104" s="379">
        <v>1196</v>
      </c>
      <c r="N104" s="379"/>
      <c r="O104" s="444"/>
      <c r="P104" s="444"/>
      <c r="Q104" s="444"/>
      <c r="R104" s="444" t="s">
        <v>296</v>
      </c>
    </row>
    <row r="105" spans="1:18" ht="20.100000000000001" customHeight="1" x14ac:dyDescent="0.25">
      <c r="A105" s="425"/>
      <c r="B105" s="425">
        <v>353</v>
      </c>
      <c r="C105" s="425" t="s">
        <v>732</v>
      </c>
      <c r="D105" s="425" t="s">
        <v>212</v>
      </c>
      <c r="E105" s="56" t="s">
        <v>733</v>
      </c>
      <c r="F105" s="14"/>
      <c r="G105" s="15"/>
      <c r="H105" s="17"/>
      <c r="I105" s="14"/>
      <c r="J105" s="14"/>
      <c r="K105" s="378"/>
      <c r="L105" s="14"/>
      <c r="M105" s="379"/>
      <c r="N105" s="379"/>
      <c r="O105" s="444"/>
      <c r="P105" s="444"/>
      <c r="Q105" s="59"/>
      <c r="R105" s="444"/>
    </row>
    <row r="106" spans="1:18" ht="20.100000000000001" customHeight="1" x14ac:dyDescent="0.25">
      <c r="A106" s="425"/>
      <c r="B106" s="425">
        <v>371</v>
      </c>
      <c r="C106" s="425" t="s">
        <v>823</v>
      </c>
      <c r="D106" s="425" t="s">
        <v>1492</v>
      </c>
      <c r="E106" s="56" t="s">
        <v>824</v>
      </c>
      <c r="F106" s="14"/>
      <c r="G106" s="15"/>
      <c r="H106" s="17"/>
      <c r="I106" s="14"/>
      <c r="J106" s="14"/>
      <c r="K106" s="378"/>
      <c r="L106" s="14"/>
      <c r="M106" s="379"/>
      <c r="N106" s="379"/>
      <c r="O106" s="444"/>
      <c r="P106" s="444"/>
      <c r="Q106" s="59"/>
      <c r="R106" s="444"/>
    </row>
    <row r="107" spans="1:18" ht="20.100000000000001" customHeight="1" x14ac:dyDescent="0.25">
      <c r="A107" s="444"/>
      <c r="B107" s="167">
        <v>375</v>
      </c>
      <c r="C107" s="167" t="s">
        <v>860</v>
      </c>
      <c r="D107" s="217" t="s">
        <v>688</v>
      </c>
      <c r="E107" s="49" t="s">
        <v>906</v>
      </c>
      <c r="F107" s="441">
        <v>2161387</v>
      </c>
      <c r="G107" s="439" t="s">
        <v>907</v>
      </c>
      <c r="H107" s="442">
        <f>169+182</f>
        <v>351</v>
      </c>
      <c r="I107" s="441" t="s">
        <v>353</v>
      </c>
      <c r="J107" s="441">
        <v>2</v>
      </c>
      <c r="K107" s="441">
        <v>2</v>
      </c>
      <c r="L107" s="441">
        <v>2</v>
      </c>
      <c r="M107" s="442">
        <v>351</v>
      </c>
      <c r="N107" s="460" t="s">
        <v>1526</v>
      </c>
      <c r="O107" s="444"/>
      <c r="P107" s="444"/>
      <c r="Q107" s="59"/>
      <c r="R107" s="444"/>
    </row>
    <row r="108" spans="1:18" ht="20.100000000000001" customHeight="1" x14ac:dyDescent="0.25">
      <c r="A108" s="425"/>
      <c r="B108" s="425">
        <v>377</v>
      </c>
      <c r="C108" s="425" t="s">
        <v>862</v>
      </c>
      <c r="D108" s="425" t="s">
        <v>212</v>
      </c>
      <c r="E108" s="56" t="s">
        <v>878</v>
      </c>
      <c r="F108" s="14"/>
      <c r="G108" s="15"/>
      <c r="H108" s="17"/>
      <c r="I108" s="14"/>
      <c r="J108" s="14"/>
      <c r="K108" s="378"/>
      <c r="L108" s="14"/>
      <c r="M108" s="379"/>
      <c r="N108" s="379"/>
      <c r="O108" s="444"/>
      <c r="P108" s="444"/>
      <c r="Q108" s="59"/>
      <c r="R108" s="444"/>
    </row>
    <row r="109" spans="1:18" ht="20.100000000000001" customHeight="1" x14ac:dyDescent="0.25">
      <c r="A109" s="425">
        <v>88</v>
      </c>
      <c r="B109" s="425">
        <v>379</v>
      </c>
      <c r="C109" s="425" t="s">
        <v>880</v>
      </c>
      <c r="D109" s="14" t="s">
        <v>345</v>
      </c>
      <c r="E109" s="56" t="s">
        <v>881</v>
      </c>
      <c r="F109" s="14">
        <v>3621010</v>
      </c>
      <c r="G109" s="15" t="s">
        <v>573</v>
      </c>
      <c r="H109" s="17">
        <f>1134+609</f>
        <v>1743</v>
      </c>
      <c r="I109" s="14" t="s">
        <v>589</v>
      </c>
      <c r="J109" s="14">
        <v>2</v>
      </c>
      <c r="K109" s="14" t="s">
        <v>961</v>
      </c>
      <c r="L109" s="14">
        <v>0.5</v>
      </c>
      <c r="M109" s="17">
        <v>1137.33</v>
      </c>
      <c r="N109" s="17"/>
      <c r="O109" s="14"/>
      <c r="P109" s="14"/>
      <c r="Q109" s="17"/>
      <c r="R109" s="444" t="s">
        <v>296</v>
      </c>
    </row>
    <row r="110" spans="1:18" ht="20.100000000000001" customHeight="1" x14ac:dyDescent="0.25">
      <c r="A110" s="411">
        <v>89</v>
      </c>
      <c r="B110" s="425">
        <v>382</v>
      </c>
      <c r="C110" s="425" t="s">
        <v>887</v>
      </c>
      <c r="D110" s="425" t="s">
        <v>347</v>
      </c>
      <c r="E110" s="56" t="s">
        <v>888</v>
      </c>
      <c r="F110" s="14" t="s">
        <v>889</v>
      </c>
      <c r="G110" s="15" t="s">
        <v>205</v>
      </c>
      <c r="H110" s="17">
        <f>1285+1247+1267+1255+1321</f>
        <v>6375</v>
      </c>
      <c r="I110" s="14" t="s">
        <v>899</v>
      </c>
      <c r="J110" s="14">
        <v>5</v>
      </c>
      <c r="K110" s="14" t="s">
        <v>899</v>
      </c>
      <c r="L110" s="14">
        <v>5</v>
      </c>
      <c r="M110" s="379">
        <f>H110</f>
        <v>6375</v>
      </c>
      <c r="N110" s="379"/>
      <c r="O110" s="14"/>
      <c r="P110" s="14"/>
      <c r="Q110" s="17"/>
      <c r="R110" s="444" t="s">
        <v>296</v>
      </c>
    </row>
    <row r="111" spans="1:18" ht="20.100000000000001" customHeight="1" x14ac:dyDescent="0.25">
      <c r="A111" s="411">
        <v>90</v>
      </c>
      <c r="B111" s="425">
        <v>422</v>
      </c>
      <c r="C111" s="425" t="s">
        <v>1244</v>
      </c>
      <c r="D111" s="425" t="s">
        <v>1245</v>
      </c>
      <c r="E111" s="56" t="s">
        <v>1248</v>
      </c>
      <c r="F111" s="428"/>
      <c r="G111" s="428"/>
      <c r="H111" s="428"/>
      <c r="I111" s="428"/>
      <c r="J111" s="428"/>
      <c r="K111" s="428"/>
      <c r="L111" s="428"/>
      <c r="M111" s="428"/>
      <c r="N111" s="428"/>
      <c r="O111" s="444"/>
      <c r="P111" s="444"/>
      <c r="Q111" s="444"/>
      <c r="R111" s="428"/>
    </row>
    <row r="112" spans="1:18" ht="20.100000000000001" customHeight="1" x14ac:dyDescent="0.25">
      <c r="A112" s="425">
        <v>91</v>
      </c>
      <c r="B112" s="425">
        <v>427</v>
      </c>
      <c r="C112" s="425" t="s">
        <v>1256</v>
      </c>
      <c r="D112" s="425" t="s">
        <v>931</v>
      </c>
      <c r="E112" s="56" t="s">
        <v>1257</v>
      </c>
      <c r="F112" s="14" t="s">
        <v>1263</v>
      </c>
      <c r="G112" s="431" t="s">
        <v>1271</v>
      </c>
      <c r="H112" s="432"/>
      <c r="I112" s="428"/>
      <c r="J112" s="428"/>
      <c r="K112" s="428"/>
      <c r="L112" s="2"/>
      <c r="M112" s="2"/>
      <c r="N112" s="2"/>
      <c r="O112" s="443"/>
      <c r="P112" s="443"/>
      <c r="Q112" s="443"/>
      <c r="R112" s="2"/>
    </row>
    <row r="113" spans="1:18" ht="20.100000000000001" customHeight="1" x14ac:dyDescent="0.25">
      <c r="A113" s="425">
        <v>92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443"/>
      <c r="P113" s="443"/>
      <c r="Q113" s="443"/>
      <c r="R113" s="2"/>
    </row>
    <row r="114" spans="1:1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443"/>
      <c r="P114" s="443"/>
      <c r="Q114" s="443"/>
      <c r="R114" s="2"/>
    </row>
    <row r="115" spans="1:1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443"/>
      <c r="P115" s="443"/>
      <c r="Q115" s="443"/>
      <c r="R115" s="2"/>
    </row>
    <row r="116" spans="1:1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443"/>
      <c r="P116" s="443"/>
      <c r="Q116" s="443"/>
      <c r="R116" s="2"/>
    </row>
    <row r="117" spans="1:1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443"/>
      <c r="P117" s="443"/>
      <c r="Q117" s="443"/>
      <c r="R117" s="2"/>
    </row>
    <row r="118" spans="1:1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443"/>
      <c r="P118" s="443"/>
      <c r="Q118" s="443"/>
      <c r="R118" s="2"/>
    </row>
    <row r="119" spans="1:1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443"/>
      <c r="P119" s="443"/>
      <c r="Q119" s="443"/>
      <c r="R119" s="2"/>
    </row>
    <row r="120" spans="1:1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443"/>
      <c r="P120" s="443"/>
      <c r="Q120" s="443"/>
      <c r="R120" s="2"/>
    </row>
    <row r="121" spans="1:1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443"/>
      <c r="P121" s="443"/>
      <c r="Q121" s="443"/>
      <c r="R121" s="2"/>
    </row>
    <row r="122" spans="1:18" x14ac:dyDescent="0.25">
      <c r="F122" s="5"/>
      <c r="G122" s="5"/>
    </row>
    <row r="124" spans="1:18" x14ac:dyDescent="0.25">
      <c r="F124" s="5"/>
      <c r="G124" s="5"/>
    </row>
    <row r="125" spans="1:18" x14ac:dyDescent="0.25">
      <c r="F125" s="5"/>
      <c r="G125" s="5"/>
    </row>
    <row r="126" spans="1:18" x14ac:dyDescent="0.25">
      <c r="F126" s="6"/>
      <c r="G126" s="6"/>
    </row>
    <row r="129" spans="7:7" x14ac:dyDescent="0.25">
      <c r="G129" s="6"/>
    </row>
    <row r="134" spans="7:7" x14ac:dyDescent="0.25">
      <c r="G134" s="5"/>
    </row>
    <row r="135" spans="7:7" x14ac:dyDescent="0.25">
      <c r="G135" s="5"/>
    </row>
  </sheetData>
  <mergeCells count="14">
    <mergeCell ref="A96:A98"/>
    <mergeCell ref="A1:R1"/>
    <mergeCell ref="A2:A4"/>
    <mergeCell ref="B2:B4"/>
    <mergeCell ref="C2:C4"/>
    <mergeCell ref="D2:D3"/>
    <mergeCell ref="E2:G3"/>
    <mergeCell ref="H2:H4"/>
    <mergeCell ref="I2:J3"/>
    <mergeCell ref="K2:M3"/>
    <mergeCell ref="O2:Q3"/>
    <mergeCell ref="R2:R3"/>
    <mergeCell ref="A94:A95"/>
    <mergeCell ref="N2:N4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79" orientation="landscape" r:id="rId1"/>
  <rowBreaks count="1" manualBreakCount="1">
    <brk id="103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RUNNING-NEW PROJECT LIST</vt:lpstr>
      <vt:lpstr>COMPL-PARTL-PROJECT LIST</vt:lpstr>
      <vt:lpstr>'COMPL-PARTL-PROJECT LIST'!Print_Area</vt:lpstr>
      <vt:lpstr>'RUNNING-NEW PROJECT LIST'!Print_Area</vt:lpstr>
      <vt:lpstr>'RUNNING-NEW PROJECT LIST'!Print_Titles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2026-05-30T07:34:58Z</cp:lastPrinted>
  <dcterms:created xsi:type="dcterms:W3CDTF">2025-06-04T04:25:31Z</dcterms:created>
  <dcterms:modified xsi:type="dcterms:W3CDTF">2026-06-04T04:57:33Z</dcterms:modified>
</cp:coreProperties>
</file>